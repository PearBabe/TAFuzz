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26f83355e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c6771a7b2b94599"/>
    <x:sheet xmlns:r="http://schemas.openxmlformats.org/officeDocument/2006/relationships" name="Decision Summary" sheetId="2" r:id="R56eaeed4240047f9"/>
    <x:sheet xmlns:r="http://schemas.openxmlformats.org/officeDocument/2006/relationships" name="Protocol Scores" sheetId="3" r:id="R8e6cadd86f2948ea"/>
    <x:sheet xmlns:r="http://schemas.openxmlformats.org/officeDocument/2006/relationships" name="Properties" sheetId="4" r:id="R903718f6e0aa4099"/>
    <x:sheet xmlns:r="http://schemas.openxmlformats.org/officeDocument/2006/relationships" name="Source Hooks" sheetId="5" r:id="Rf660e8a98281497f"/>
    <x:sheet xmlns:r="http://schemas.openxmlformats.org/officeDocument/2006/relationships" name="Validation" sheetId="6" r:id="Rc65ba9bcaa264a84"/>
    <x:sheet xmlns:r="http://schemas.openxmlformats.org/officeDocument/2006/relationships" name="Baselines" sheetId="7" r:id="R24ac7ae1d23d4499"/>
    <x:sheet xmlns:r="http://schemas.openxmlformats.org/officeDocument/2006/relationships" name="Evidence" sheetId="8" r:id="R24955e699a734acc"/>
    <x:sheet xmlns:r="http://schemas.openxmlformats.org/officeDocument/2006/relationships" name="Review Signoff" sheetId="9" r:id="R6182d2cb5476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0f43ead8c4ffa" /><Relationship Type="http://schemas.openxmlformats.org/officeDocument/2006/relationships/theme" Target="/xl/theme/theme1.xml" Id="R272804ff66c740ab" /><Relationship Type="http://schemas.openxmlformats.org/officeDocument/2006/relationships/sharedStrings" Target="/xl/sharedStrings.xml" Id="R972aa84a83834a35" /><Relationship Type="http://schemas.openxmlformats.org/officeDocument/2006/relationships/worksheet" Target="/xl/worksheets/sheet1.xml" Id="R5c6771a7b2b94599" /><Relationship Type="http://schemas.openxmlformats.org/officeDocument/2006/relationships/worksheet" Target="/xl/worksheets/sheet2.xml" Id="R56eaeed4240047f9" /><Relationship Type="http://schemas.openxmlformats.org/officeDocument/2006/relationships/worksheet" Target="/xl/worksheets/sheet3.xml" Id="R8e6cadd86f2948ea" /><Relationship Type="http://schemas.openxmlformats.org/officeDocument/2006/relationships/worksheet" Target="/xl/worksheets/sheet4.xml" Id="R903718f6e0aa4099" /><Relationship Type="http://schemas.openxmlformats.org/officeDocument/2006/relationships/worksheet" Target="/xl/worksheets/sheet5.xml" Id="Rf660e8a98281497f" /><Relationship Type="http://schemas.openxmlformats.org/officeDocument/2006/relationships/worksheet" Target="/xl/worksheets/sheet6.xml" Id="Rc65ba9bcaa264a84" /><Relationship Type="http://schemas.openxmlformats.org/officeDocument/2006/relationships/worksheet" Target="/xl/worksheets/sheet7.xml" Id="R24ac7ae1d23d4499" /><Relationship Type="http://schemas.openxmlformats.org/officeDocument/2006/relationships/worksheet" Target="/xl/worksheets/sheet8.xml" Id="R24955e699a734acc" /><Relationship Type="http://schemas.openxmlformats.org/officeDocument/2006/relationships/worksheet" Target="/xl/worksheets/sheet9.xml" Id="R6182d2cb547644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SIP MITL 人工审核包 — 研究阶段门禁</x:v>
      </x:c>
      <x:c r="B1" s="4" t="str">
        <x:v>SIP MITL 人工审核包 — 研究阶段门禁</x:v>
      </x:c>
      <x:c r="C1" s="4" t="str">
        <x:v>SIP MITL 人工审核包 — 研究阶段门禁</x:v>
      </x:c>
      <x:c r="D1" s="4" t="str">
        <x:v>SIP MITL 人工审核包 — 研究阶段门禁</x:v>
      </x:c>
      <x:c r="E1" s="4" t="str">
        <x:v>SIP MITL 人工审核包 — 研究阶段门禁</x:v>
      </x:c>
      <x:c r="F1" s="4" t="str">
        <x:v>SIP MITL 人工审核包 — 研究阶段门禁</x:v>
      </x:c>
      <x:c r="G1" s="4" t="str">
        <x:v>SIP MITL 人工审核包 — 研究阶段门禁</x:v>
      </x:c>
      <x:c r="H1" s="4" t="str">
        <x:v>SIP MITL 人工审核包 — 研究阶段门禁</x:v>
      </x:c>
    </x:row>
    <x:row r="2" ht="28" customHeight="1">
      <x:c r="A2" s="4" t="str">
        <x:v>SIP MITL 人工审核包 — 研究阶段门禁</x:v>
      </x:c>
      <x:c r="B2" s="4" t="str">
        <x:v>SIP MITL 人工审核包 — 研究阶段门禁</x:v>
      </x:c>
      <x:c r="C2" s="4" t="str">
        <x:v>SIP MITL 人工审核包 — 研究阶段门禁</x:v>
      </x:c>
      <x:c r="D2" s="4" t="str">
        <x:v>SIP MITL 人工审核包 — 研究阶段门禁</x:v>
      </x:c>
      <x:c r="E2" s="4" t="str">
        <x:v>SIP MITL 人工审核包 — 研究阶段门禁</x:v>
      </x:c>
      <x:c r="F2" s="4" t="str">
        <x:v>SIP MITL 人工审核包 — 研究阶段门禁</x:v>
      </x:c>
      <x:c r="G2" s="4" t="str">
        <x:v>SIP MITL 人工审核包 — 研究阶段门禁</x:v>
      </x:c>
      <x:c r="H2" s="4" t="str">
        <x:v>SIP MITL 人工审核包 — 研究阶段门禁</x:v>
      </x:c>
    </x:row>
    <x:row r="4">
      <x:c r="A4" s="8" t="str">
        <x:v>当前结论</x:v>
      </x:c>
      <x:c r="B4" s="11" t="str">
        <x:v>首选 SIP 事务层；主 SUT=Kamailio；benchmark=ProFuzzBench；20/20 公式机器验证通过。</x:v>
      </x:c>
    </x:row>
    <x:row r="5">
      <x:c r="A5" s="8" t="str">
        <x:v>重要限制</x:v>
      </x:c>
      <x:c r="B5" s="11" t="str">
        <x:v>本工作簿不是批准记录。Review Signoff 页所有条目初始为 PENDING；未签字不得实现或写入论文主张。</x:v>
      </x:c>
    </x:row>
    <x:row r="6">
      <x:c r="A6" s="8" t="str">
        <x:v>统一语义</x:v>
      </x:c>
      <x:c r="B6" s="11" t="str">
        <x:v>pointwise timed word；绝对整数毫秒；按事务关联后投影；缺失 AP=false；finite + flatten。</x:v>
      </x:c>
    </x:row>
    <x:row r="7">
      <x:c r="A7" s="8" t="str">
        <x:v>时间常数</x:v>
      </x:c>
      <x:c r="B7" s="11" t="str">
        <x:v>T1=500ms，T2=4000ms，T4=5000ms，64*T1=32000ms；Timer C 要求严格 &gt;180000ms。</x:v>
      </x:c>
    </x:row>
    <x:row r="8">
      <x:c r="A8" s="8" t="str">
        <x:v>审核状态</x:v>
      </x:c>
      <x:c r="B8" s="11" t="str">
        <x:v>APPROVE_AS_CLAIMED / APPROVE_WITH_CAVEAT / REJECT_OR_FIX / DEFER_TO_V2 / KEEP_EXCLUDED</x:v>
      </x:c>
    </x:row>
    <x:row r="9">
      <x:c r="A9" s="8" t="str">
        <x:v>建议顺序</x:v>
      </x:c>
      <x:c r="B9" s="11" t="str">
        <x:v>先审 Decision Summary，再逐条审 Properties 与 Source Hooks，最后在 Review Signoff 填状态、姓名、日期与理由。</x:v>
      </x:c>
    </x:row>
    <x:row r="10">
      <x:c r="A10" s="8" t="str">
        <x:v>V2 排除</x:v>
      </x:c>
      <x:c r="B10" s="11" t="str">
        <x:v>RFC 4320 的 E→T2/100 Trying 与 RFC 6026 Timer L/M 尚未进入 20 条主目录；原因见 semantic_exclusions.md。</x:v>
      </x:c>
    </x:row>
    <x:row r="12">
      <x:c r="A12" s="13" t="str">
        <x:v>机器验证摘要</x:v>
      </x:c>
      <x:c r="B12" s="13"/>
      <x:c r="C12" s="13"/>
      <x:c r="D12" s="13"/>
      <x:c r="E12" s="13"/>
      <x:c r="F12" s="13"/>
      <x:c r="G12" s="13"/>
      <x:c r="H12" s="13"/>
    </x:row>
    <x:row r="13">
      <x:c r="A13" s="15" t="str">
        <x:v>主性质数</x:v>
      </x:c>
      <x:c r="B13" s="11" t="n">
        <x:v>20</x:v>
      </x:c>
    </x:row>
    <x:row r="14">
      <x:c r="A14" s="15" t="str">
        <x:v>构造通过</x:v>
      </x:c>
      <x:c r="B14" s="11" t="n">
        <x:v>20</x:v>
      </x:c>
    </x:row>
    <x:row r="15">
      <x:c r="A15" s="15" t="str">
        <x:v>正反 oracle 通过</x:v>
      </x:c>
      <x:c r="B15" s="11" t="n">
        <x:v>20</x:v>
      </x:c>
    </x:row>
    <x:row r="16">
      <x:c r="A16" s="15" t="str">
        <x:v>symbolic/concrete 一致</x:v>
      </x:c>
      <x:c r="B16" s="11" t="n">
        <x:v>20</x:v>
      </x:c>
    </x:row>
    <x:row r="17">
      <x:c r="A17" s="15" t="str">
        <x:v>人工已批准</x:v>
      </x:c>
      <x:c r="B17" s="11" t="n">
        <x:v>0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30" hidden="0" customWidth="1"/>
    <x:col min="4" max="4" width="24" hidden="0" customWidth="1"/>
    <x:col min="5" max="5" width="4" hidden="0" customWidth="1"/>
    <x:col min="6" max="6" width="22" hidden="0" customWidth="1"/>
    <x:col min="7" max="7" width="36" hidden="0" customWidth="1"/>
    <x:col min="8" max="8" width="16" hidden="0" customWidth="1"/>
  </x:cols>
  <x:sheetData>
    <x:row r="1" ht="28" customHeight="1">
      <x:c r="A1" s="4" t="str">
        <x:v>进入实现前的决策总览</x:v>
      </x:c>
      <x:c r="B1" s="4" t="str">
        <x:v>进入实现前的决策总览</x:v>
      </x:c>
      <x:c r="C1" s="4" t="str">
        <x:v>进入实现前的决策总览</x:v>
      </x:c>
      <x:c r="D1" s="4" t="str">
        <x:v>进入实现前的决策总览</x:v>
      </x:c>
      <x:c r="E1" s="4" t="str">
        <x:v>进入实现前的决策总览</x:v>
      </x:c>
      <x:c r="F1" s="4" t="str">
        <x:v>进入实现前的决策总览</x:v>
      </x:c>
      <x:c r="G1" s="4" t="str">
        <x:v>进入实现前的决策总览</x:v>
      </x:c>
      <x:c r="H1" s="4" t="str">
        <x:v>进入实现前的决策总览</x:v>
      </x:c>
    </x:row>
    <x:row r="2" ht="28" customHeight="1">
      <x:c r="A2" s="4" t="str">
        <x:v>进入实现前的决策总览</x:v>
      </x:c>
      <x:c r="B2" s="4" t="str">
        <x:v>进入实现前的决策总览</x:v>
      </x:c>
      <x:c r="C2" s="4" t="str">
        <x:v>进入实现前的决策总览</x:v>
      </x:c>
      <x:c r="D2" s="4" t="str">
        <x:v>进入实现前的决策总览</x:v>
      </x:c>
      <x:c r="E2" s="4" t="str">
        <x:v>进入实现前的决策总览</x:v>
      </x:c>
      <x:c r="F2" s="4" t="str">
        <x:v>进入实现前的决策总览</x:v>
      </x:c>
      <x:c r="G2" s="4" t="str">
        <x:v>进入实现前的决策总览</x:v>
      </x:c>
      <x:c r="H2" s="4" t="str">
        <x:v>进入实现前的决策总览</x:v>
      </x:c>
    </x:row>
    <x:row r="4" ht="30" customHeight="1">
      <x:c r="A4" s="18" t="str">
        <x:v>门禁</x:v>
      </x:c>
      <x:c r="B4" s="18" t="str">
        <x:v>现状</x:v>
      </x:c>
      <x:c r="C4" s="18" t="str">
        <x:v>证据</x:v>
      </x:c>
      <x:c r="D4" s="18" t="str">
        <x:v>人工决定</x:v>
      </x:c>
    </x:row>
    <x:row r="5">
      <x:c r="A5" s="11" t="str">
        <x:v>CCFA 身份/操作性定义</x:v>
      </x:c>
      <x:c r="B5" s="11" t="str">
        <x:v>未定位唯一 CCFA；采用 stateful coverage-guided 操作性定义</x:v>
      </x:c>
      <x:c r="C5" s="11" t="str">
        <x:v>ccfa_identity_audit.md</x:v>
      </x:c>
      <x:c r="D5" s="11" t="str">
        <x:v>PENDING</x:v>
      </x:c>
    </x:row>
    <x:row r="6">
      <x:c r="A6" s="11" t="str">
        <x:v>协议硬门</x:v>
      </x:c>
      <x:c r="B6" s="11" t="str">
        <x:v>SIP 唯一通过量表+同 SUT 三 baseline 路径</x:v>
      </x:c>
      <x:c r="C6" s="11" t="str">
        <x:v>protocol_scorecard.csv</x:v>
      </x:c>
      <x:c r="D6" s="11" t="str">
        <x:v>PENDING</x:v>
      </x:c>
    </x:row>
    <x:row r="7">
      <x:c r="A7" s="11" t="str">
        <x:v>20 条规范锚点</x:v>
      </x:c>
      <x:c r="B7" s="11" t="str">
        <x:v>20/20 RFC 3261 section + fixed commit hook</x:v>
      </x:c>
      <x:c r="C7" s="11" t="str">
        <x:v>Properties / Source Hooks</x:v>
      </x:c>
      <x:c r="D7" s="11" t="str">
        <x:v>PENDING</x:v>
      </x:c>
    </x:row>
    <x:row r="8">
      <x:c r="A8" s="11" t="str">
        <x:v>公式构造</x:v>
      </x:c>
      <x:c r="B8" s="11" t="str">
        <x:v>20/20 PASS</x:v>
      </x:c>
      <x:c r="C8" s="11" t="str">
        <x:v>Validation</x:v>
      </x:c>
      <x:c r="D8" s="11" t="str">
        <x:v>PENDING</x:v>
      </x:c>
    </x:row>
    <x:row r="9">
      <x:c r="A9" s="11" t="str">
        <x:v>正反 trace</x:v>
      </x:c>
      <x:c r="B9" s="11" t="str">
        <x:v>20/20 oracle PASS</x:v>
      </x:c>
      <x:c r="C9" s="11" t="str">
        <x:v>Validation</x:v>
      </x:c>
      <x:c r="D9" s="11" t="str">
        <x:v>PENDING</x:v>
      </x:c>
    </x:row>
    <x:row r="10">
      <x:c r="A10" s="11" t="str">
        <x:v>实验公平性</x:v>
      </x:c>
      <x:c r="B10" s="11" t="str">
        <x:v>AFLnwe/AFLNet/StateAFL；24h×4 full</x:v>
      </x:c>
      <x:c r="C10" s="11" t="str">
        <x:v>Baselines</x:v>
      </x:c>
      <x:c r="D10" s="11" t="str">
        <x:v>PENDING</x:v>
      </x:c>
    </x:row>
    <x:row r="11">
      <x:c r="A11" s="11" t="str">
        <x:v>Timer C 严格边界</x:v>
      </x:c>
      <x:c r="B11" s="11" t="str">
        <x:v>RFC &gt;180000ms；Kamailio 默认 180000ms，存在待审偏差</x:v>
      </x:c>
      <x:c r="C11" s="11" t="str">
        <x:v>SIP-TX-20</x:v>
      </x:c>
      <x:c r="D11" s="11" t="str">
        <x:v>PENDING</x:v>
      </x:c>
    </x:row>
    <x:row r="13">
      <x:c r="A13" s="15" t="str">
        <x:v>性质审批完成数</x:v>
      </x:c>
      <x:c r="B13" s="11" t="n">
        <x:f>COUNTIF('Review Signoff'!E5:E24,"&lt;&gt;PENDING")</x:f>
        <x:v>0</x:v>
      </x:c>
      <x:c r="F13" s="20" t="str">
        <x:v>实施门状态</x:v>
      </x:c>
      <x:c r="G13" s="20"/>
      <x:c r="H13" s="20"/>
    </x:row>
    <x:row r="14">
      <x:c r="A14" s="15" t="str">
        <x:v>APPROVE_AS_CLAIMED</x:v>
      </x:c>
      <x:c r="B14" s="11" t="n">
        <x:f>COUNTIF('Review Signoff'!E5:E24,"APPROVE_AS_CLAIMED")</x:f>
        <x:v>0</x:v>
      </x:c>
      <x:c r="F14" s="11" t="str">
        <x:v>条件</x:v>
      </x:c>
      <x:c r="G14" s="11" t="str">
        <x:v>20 条均完成审核，且无 REJECT_OR_FIX</x:v>
      </x:c>
      <x:c r="H14" s="11"/>
    </x:row>
    <x:row r="15">
      <x:c r="A15" s="15" t="str">
        <x:v>APPROVE_WITH_CAVEAT</x:v>
      </x:c>
      <x:c r="B15" s="11" t="n">
        <x:f>COUNTIF('Review Signoff'!E5:E24,"APPROVE_WITH_CAVEAT")</x:f>
        <x:v>0</x:v>
      </x:c>
      <x:c r="F15" s="11" t="str">
        <x:v>当前</x:v>
      </x:c>
      <x:c r="G15" s="11" t="str">
        <x:v>BLOCKED_FOR_HUMAN_REVIEW</x:v>
      </x:c>
      <x:c r="H15" s="11"/>
    </x:row>
    <x:row r="16">
      <x:c r="A16" s="15" t="str">
        <x:v>REJECT_OR_FIX</x:v>
      </x:c>
      <x:c r="B16" s="11" t="n">
        <x:f>COUNTIF('Review Signoff'!E5:E24,"REJECT_OR_FIX")</x:f>
        <x:v>0</x:v>
      </x:c>
      <x:c r="F16" s="11" t="str">
        <x:v>下一步</x:v>
      </x:c>
      <x:c r="G16" s="11" t="str">
        <x:v>用户逐条签字后再实现 harness</x:v>
      </x:c>
      <x:c r="H16" s="11"/>
    </x:row>
    <x:row r="17">
      <x:c r="A17" s="15" t="str">
        <x:v>DEFER_TO_V2</x:v>
      </x:c>
      <x:c r="B17" s="11" t="n">
        <x:f>COUNTIF('Review Signoff'!E5:E24,"DEFER_TO_V2")</x:f>
        <x:v>0</x:v>
      </x:c>
    </x:row>
    <x:row r="18">
      <x:c r="A18" s="15" t="str">
        <x:v>KEEP_EXCLUDED</x:v>
      </x:c>
      <x:c r="B18" s="11" t="n">
        <x:f>COUNTIF('Review Signoff'!E5:E24,"KEEP_EXCLUDED")</x:f>
        <x:v>0</x:v>
      </x:c>
    </x:row>
  </x:sheetData>
  <x:mergeCells>
    <x:mergeCell ref="A1:H2"/>
    <x:mergeCell ref="F13:H13"/>
  </x:mergeCells>
  <x:dataValidations count="1">
    <x:dataValidation type="list" sqref="D5:D11">
      <x:formula1>"PENDING,APPROVE_AS_CLAIMED,APPROVE_WITH_CAVEAT,REJECT_OR_FIX,DEFER_TO_V2,KEEP_EXCLUDED"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22" hidden="0" customWidth="1"/>
    <x:col min="10" max="10" width="58" hidden="0" customWidth="1"/>
  </x:cols>
  <x:sheetData>
    <x:row r="1" ht="28" customHeight="1">
      <x:c r="A1" s="4" t="str">
        <x:v>协议候选评分（硬门优先于总分）</x:v>
      </x:c>
      <x:c r="B1" s="4" t="str">
        <x:v>协议候选评分（硬门优先于总分）</x:v>
      </x:c>
      <x:c r="C1" s="4" t="str">
        <x:v>协议候选评分（硬门优先于总分）</x:v>
      </x:c>
      <x:c r="D1" s="4" t="str">
        <x:v>协议候选评分（硬门优先于总分）</x:v>
      </x:c>
      <x:c r="E1" s="4" t="str">
        <x:v>协议候选评分（硬门优先于总分）</x:v>
      </x:c>
      <x:c r="F1" s="4" t="str">
        <x:v>协议候选评分（硬门优先于总分）</x:v>
      </x:c>
      <x:c r="G1" s="4" t="str">
        <x:v>协议候选评分（硬门优先于总分）</x:v>
      </x:c>
      <x:c r="H1" s="4" t="str">
        <x:v>协议候选评分（硬门优先于总分）</x:v>
      </x:c>
      <x:c r="I1" s="4" t="str">
        <x:v>协议候选评分（硬门优先于总分）</x:v>
      </x:c>
      <x:c r="J1" s="4" t="str">
        <x:v>协议候选评分（硬门优先于总分）</x:v>
      </x:c>
    </x:row>
    <x:row r="2" ht="28" customHeight="1">
      <x:c r="A2" s="4" t="str">
        <x:v>协议候选评分（硬门优先于总分）</x:v>
      </x:c>
      <x:c r="B2" s="4" t="str">
        <x:v>协议候选评分（硬门优先于总分）</x:v>
      </x:c>
      <x:c r="C2" s="4" t="str">
        <x:v>协议候选评分（硬门优先于总分）</x:v>
      </x:c>
      <x:c r="D2" s="4" t="str">
        <x:v>协议候选评分（硬门优先于总分）</x:v>
      </x:c>
      <x:c r="E2" s="4" t="str">
        <x:v>协议候选评分（硬门优先于总分）</x:v>
      </x:c>
      <x:c r="F2" s="4" t="str">
        <x:v>协议候选评分（硬门优先于总分）</x:v>
      </x:c>
      <x:c r="G2" s="4" t="str">
        <x:v>协议候选评分（硬门优先于总分）</x:v>
      </x:c>
      <x:c r="H2" s="4" t="str">
        <x:v>协议候选评分（硬门优先于总分）</x:v>
      </x:c>
      <x:c r="I2" s="4" t="str">
        <x:v>协议候选评分（硬门优先于总分）</x:v>
      </x:c>
      <x:c r="J2" s="4" t="str">
        <x:v>协议候选评分（硬门优先于总分）</x:v>
      </x:c>
    </x:row>
    <x:row r="4" ht="30" customHeight="1">
      <x:c r="A4" s="18" t="str">
        <x:v>protocol</x:v>
      </x:c>
      <x:c r="B4" s="18" t="str">
        <x:v>authentic_properties_25</x:v>
      </x:c>
      <x:c r="C4" s="18" t="str">
        <x:v>benchmark_comparability_25</x:v>
      </x:c>
      <x:c r="D4" s="18" t="str">
        <x:v>setup_ease_15</x:v>
      </x:c>
      <x:c r="E4" s="18" t="str">
        <x:v>observability_15</x:v>
      </x:c>
      <x:c r="F4" s="18" t="str">
        <x:v>tafuzz_fit_10</x:v>
      </x:c>
      <x:c r="G4" s="18" t="str">
        <x:v>reproducibility_10</x:v>
      </x:c>
      <x:c r="H4" s="18" t="str">
        <x:v>total_100</x:v>
      </x:c>
      <x:c r="I4" s="18" t="str">
        <x:v>hard_gate</x:v>
      </x:c>
      <x:c r="J4" s="18" t="str">
        <x:v>evidence_note</x:v>
      </x:c>
    </x:row>
    <x:row r="5">
      <x:c r="A5" s="11" t="str">
        <x:v>SIP</x:v>
      </x:c>
      <x:c r="B5" s="11" t="str">
        <x:v>23</x:v>
      </x:c>
      <x:c r="C5" s="11" t="str">
        <x:v>25</x:v>
      </x:c>
      <x:c r="D5" s="11" t="str">
        <x:v>13</x:v>
      </x:c>
      <x:c r="E5" s="11" t="str">
        <x:v>14</x:v>
      </x:c>
      <x:c r="F5" s="11" t="str">
        <x:v>10</x:v>
      </x:c>
      <x:c r="G5" s="11" t="str">
        <x:v>9</x:v>
      </x:c>
      <x:c r="H5" s="11" t="str">
        <x:v>94</x:v>
      </x:c>
      <x:c r="I5" s="11" t="str">
        <x:v>PASS</x:v>
      </x:c>
      <x:c r="J5" s="11" t="str">
        <x:v>ProFuzzBench Kamailio + 20 RFC 3261 properties</x:v>
      </x:c>
    </x:row>
    <x:row r="6">
      <x:c r="A6" s="11" t="str">
        <x:v>DTLS</x:v>
      </x:c>
      <x:c r="B6" s="11" t="str">
        <x:v>19</x:v>
      </x:c>
      <x:c r="C6" s="11" t="str">
        <x:v>24</x:v>
      </x:c>
      <x:c r="D6" s="11" t="str">
        <x:v>13</x:v>
      </x:c>
      <x:c r="E6" s="11" t="str">
        <x:v>13</x:v>
      </x:c>
      <x:c r="F6" s="11" t="str">
        <x:v>9</x:v>
      </x:c>
      <x:c r="G6" s="11" t="str">
        <x:v>9</x:v>
      </x:c>
      <x:c r="H6" s="11" t="str">
        <x:v>87</x:v>
      </x:c>
      <x:c r="I6" s="11" t="str">
        <x:v>FAIL_20</x:v>
      </x:c>
      <x:c r="J6" s="11" t="str">
        <x:v>TinyDTLS benchmark version and modern DTLS timer properties mismatch</x:v>
      </x:c>
    </x:row>
    <x:row r="7">
      <x:c r="A7" s="11" t="str">
        <x:v>CoAP</x:v>
      </x:c>
      <x:c r="B7" s="11" t="str">
        <x:v>25</x:v>
      </x:c>
      <x:c r="C7" s="11" t="str">
        <x:v>10</x:v>
      </x:c>
      <x:c r="D7" s="11" t="str">
        <x:v>15</x:v>
      </x:c>
      <x:c r="E7" s="11" t="str">
        <x:v>14</x:v>
      </x:c>
      <x:c r="F7" s="11" t="str">
        <x:v>10</x:v>
      </x:c>
      <x:c r="G7" s="11" t="str">
        <x:v>9</x:v>
      </x:c>
      <x:c r="H7" s="11" t="str">
        <x:v>83</x:v>
      </x:c>
      <x:c r="I7" s="11" t="str">
        <x:v>FAIL_3_BASELINES</x:v>
      </x:c>
      <x:c r="J7" s="11" t="str">
        <x:v>excellent RFC timers, absent from original ProFuzzBench targets</x:v>
      </x:c>
    </x:row>
    <x:row r="8">
      <x:c r="A8" s="11" t="str">
        <x:v>MQTT</x:v>
      </x:c>
      <x:c r="B8" s="11" t="str">
        <x:v>14</x:v>
      </x:c>
      <x:c r="C8" s="11" t="str">
        <x:v>14</x:v>
      </x:c>
      <x:c r="D8" s="11" t="str">
        <x:v>15</x:v>
      </x:c>
      <x:c r="E8" s="11" t="str">
        <x:v>13</x:v>
      </x:c>
      <x:c r="F8" s="11" t="str">
        <x:v>8</x:v>
      </x:c>
      <x:c r="G8" s="11" t="str">
        <x:v>9</x:v>
      </x:c>
      <x:c r="H8" s="11" t="str">
        <x:v>73</x:v>
      </x:c>
      <x:c r="I8" s="11" t="str">
        <x:v>FAIL_3_BASELINES</x:v>
      </x:c>
      <x:c r="J8" s="11" t="str">
        <x:v>simple setup but weaker timed transaction corpus</x:v>
      </x:c>
    </x:row>
    <x:row r="9">
      <x:c r="A9" s="11" t="str">
        <x:v>TLS</x:v>
      </x:c>
      <x:c r="B9" s="11" t="str">
        <x:v>12</x:v>
      </x:c>
      <x:c r="C9" s="11" t="str">
        <x:v>25</x:v>
      </x:c>
      <x:c r="D9" s="11" t="str">
        <x:v>13</x:v>
      </x:c>
      <x:c r="E9" s="11" t="str">
        <x:v>11</x:v>
      </x:c>
      <x:c r="F9" s="11" t="str">
        <x:v>7</x:v>
      </x:c>
      <x:c r="G9" s="11" t="str">
        <x:v>9</x:v>
      </x:c>
      <x:c r="H9" s="11" t="str">
        <x:v>77</x:v>
      </x:c>
      <x:c r="I9" s="11" t="str">
        <x:v>FAIL_20</x:v>
      </x:c>
      <x:c r="J9" s="11" t="str">
        <x:v>benchmark mature; most core obligations are not bounded timers</x:v>
      </x:c>
    </x:row>
    <x:row r="10">
      <x:c r="A10" s="11" t="str">
        <x:v>RTSP</x:v>
      </x:c>
      <x:c r="B10" s="11" t="str">
        <x:v>8</x:v>
      </x:c>
      <x:c r="C10" s="11" t="str">
        <x:v>25</x:v>
      </x:c>
      <x:c r="D10" s="11" t="str">
        <x:v>14</x:v>
      </x:c>
      <x:c r="E10" s="11" t="str">
        <x:v>12</x:v>
      </x:c>
      <x:c r="F10" s="11" t="str">
        <x:v>7</x:v>
      </x:c>
      <x:c r="G10" s="11" t="str">
        <x:v>9</x:v>
      </x:c>
      <x:c r="H10" s="11" t="str">
        <x:v>75</x:v>
      </x:c>
      <x:c r="I10" s="11" t="str">
        <x:v>FAIL_20</x:v>
      </x:c>
      <x:c r="J10" s="11" t="str">
        <x:v>benchmark mature but timed RFC obligations are sparse</x:v>
      </x:c>
    </x:row>
    <x:row r="11">
      <x:c r="A11" s="11" t="str">
        <x:v>FTP</x:v>
      </x:c>
      <x:c r="B11" s="11" t="str">
        <x:v>5</x:v>
      </x:c>
      <x:c r="C11" s="11" t="str">
        <x:v>25</x:v>
      </x:c>
      <x:c r="D11" s="11" t="str">
        <x:v>15</x:v>
      </x:c>
      <x:c r="E11" s="11" t="str">
        <x:v>12</x:v>
      </x:c>
      <x:c r="F11" s="11" t="str">
        <x:v>6</x:v>
      </x:c>
      <x:c r="G11" s="11" t="str">
        <x:v>9</x:v>
      </x:c>
      <x:c r="H11" s="11" t="str">
        <x:v>72</x:v>
      </x:c>
      <x:c r="I11" s="11" t="str">
        <x:v>FAIL_20</x:v>
      </x:c>
      <x:c r="J11" s="11" t="str">
        <x:v>strong baselines, weak genuine MITL catalog</x:v>
      </x:c>
    </x:row>
    <x:row r="12">
      <x:c r="A12" s="11" t="str">
        <x:v>SMTP</x:v>
      </x:c>
      <x:c r="B12" s="11" t="str">
        <x:v>6</x:v>
      </x:c>
      <x:c r="C12" s="11" t="str">
        <x:v>25</x:v>
      </x:c>
      <x:c r="D12" s="11" t="str">
        <x:v>14</x:v>
      </x:c>
      <x:c r="E12" s="11" t="str">
        <x:v>12</x:v>
      </x:c>
      <x:c r="F12" s="11" t="str">
        <x:v>6</x:v>
      </x:c>
      <x:c r="G12" s="11" t="str">
        <x:v>9</x:v>
      </x:c>
      <x:c r="H12" s="11" t="str">
        <x:v>72</x:v>
      </x:c>
      <x:c r="I12" s="11" t="str">
        <x:v>FAIL_20</x:v>
      </x:c>
      <x:c r="J12" s="11" t="str">
        <x:v>strong baselines, many implementation rather than RFC deadlines</x:v>
      </x:c>
    </x:row>
    <x:row r="13">
      <x:c r="A13" s="11" t="str">
        <x:v>DNS</x:v>
      </x:c>
      <x:c r="B13" s="11" t="str">
        <x:v>7</x:v>
      </x:c>
      <x:c r="C13" s="11" t="str">
        <x:v>23</x:v>
      </x:c>
      <x:c r="D13" s="11" t="str">
        <x:v>15</x:v>
      </x:c>
      <x:c r="E13" s="11" t="str">
        <x:v>10</x:v>
      </x:c>
      <x:c r="F13" s="11" t="str">
        <x:v>6</x:v>
      </x:c>
      <x:c r="G13" s="11" t="str">
        <x:v>9</x:v>
      </x:c>
      <x:c r="H13" s="11" t="str">
        <x:v>70</x:v>
      </x:c>
      <x:c r="I13" s="11" t="str">
        <x:v>FAIL_20</x:v>
      </x:c>
      <x:c r="J13" s="11" t="str">
        <x:v>benchmark available, retransmission mostly resolver policy</x:v>
      </x:c>
    </x:row>
    <x:row r="14">
      <x:c r="A14" s="11" t="str">
        <x:v>QUIC</x:v>
      </x:c>
      <x:c r="B14" s="11" t="str">
        <x:v>21</x:v>
      </x:c>
      <x:c r="C14" s="11" t="str">
        <x:v>12</x:v>
      </x:c>
      <x:c r="D14" s="11" t="str">
        <x:v>8</x:v>
      </x:c>
      <x:c r="E14" s="11" t="str">
        <x:v>12</x:v>
      </x:c>
      <x:c r="F14" s="11" t="str">
        <x:v>9</x:v>
      </x:c>
      <x:c r="G14" s="11" t="str">
        <x:v>8</x:v>
      </x:c>
      <x:c r="H14" s="11" t="str">
        <x:v>70</x:v>
      </x:c>
      <x:c r="I14" s="11" t="str">
        <x:v>FAIL_SETUP</x:v>
      </x:c>
      <x:c r="J14" s="11" t="str">
        <x:v>rich timers but complex harness and fast-moving implementations</x:v>
      </x:c>
    </x:row>
    <x:row r="15">
      <x:c r="A15" s="11" t="str">
        <x:v>DDS/RTPS</x:v>
      </x:c>
      <x:c r="B15" s="11" t="str">
        <x:v>22</x:v>
      </x:c>
      <x:c r="C15" s="11" t="str">
        <x:v>11</x:v>
      </x:c>
      <x:c r="D15" s="11" t="str">
        <x:v>7</x:v>
      </x:c>
      <x:c r="E15" s="11" t="str">
        <x:v>10</x:v>
      </x:c>
      <x:c r="F15" s="11" t="str">
        <x:v>9</x:v>
      </x:c>
      <x:c r="G15" s="11" t="str">
        <x:v>7</x:v>
      </x:c>
      <x:c r="H15" s="11" t="str">
        <x:v>66</x:v>
      </x:c>
      <x:c r="I15" s="11" t="str">
        <x:v>FAIL_SETUP</x:v>
      </x:c>
      <x:c r="J15" s="11" t="str">
        <x:v>rich real-time QoS, heavy ecosystem/adaptation</x:v>
      </x:c>
    </x:row>
    <x:row r="16">
      <x:c r="A16" s="11" t="str">
        <x:v>Modbus/TCP</x:v>
      </x:c>
      <x:c r="B16" s="11" t="str">
        <x:v>8</x:v>
      </x:c>
      <x:c r="C16" s="11" t="str">
        <x:v>12</x:v>
      </x:c>
      <x:c r="D16" s="11" t="str">
        <x:v>14</x:v>
      </x:c>
      <x:c r="E16" s="11" t="str">
        <x:v>10</x:v>
      </x:c>
      <x:c r="F16" s="11" t="str">
        <x:v>7</x:v>
      </x:c>
      <x:c r="G16" s="11" t="str">
        <x:v>8</x:v>
      </x:c>
      <x:c r="H16" s="11" t="str">
        <x:v>59</x:v>
      </x:c>
      <x:c r="I16" s="11" t="str">
        <x:v>FAIL_20</x:v>
      </x:c>
      <x:c r="J16" s="11" t="str">
        <x:v>easy SUT, limited normative timed state machine</x:v>
      </x:c>
    </x:row>
    <x:row r="17">
      <x:c r="A17" s="11" t="str">
        <x:v>OPC UA</x:v>
      </x:c>
      <x:c r="B17" s="11" t="str">
        <x:v>16</x:v>
      </x:c>
      <x:c r="C17" s="11" t="str">
        <x:v>10</x:v>
      </x:c>
      <x:c r="D17" s="11" t="str">
        <x:v>7</x:v>
      </x:c>
      <x:c r="E17" s="11" t="str">
        <x:v>9</x:v>
      </x:c>
      <x:c r="F17" s="11" t="str">
        <x:v>8</x:v>
      </x:c>
      <x:c r="G17" s="11" t="str">
        <x:v>7</x:v>
      </x:c>
      <x:c r="H17" s="11" t="str">
        <x:v>57</x:v>
      </x:c>
      <x:c r="I17" s="11" t="str">
        <x:v>FAIL_SETUP</x:v>
      </x:c>
      <x:c r="J17" s="11" t="str">
        <x:v>properties exist but stack/conformance setup is heavy</x:v>
      </x:c>
    </x:row>
    <x:row r="18">
      <x:c r="A18" s="11" t="str">
        <x:v>CAN/UDS</x:v>
      </x:c>
      <x:c r="B18" s="11" t="str">
        <x:v>15</x:v>
      </x:c>
      <x:c r="C18" s="11" t="str">
        <x:v>9</x:v>
      </x:c>
      <x:c r="D18" s="11" t="str">
        <x:v>6</x:v>
      </x:c>
      <x:c r="E18" s="11" t="str">
        <x:v>8</x:v>
      </x:c>
      <x:c r="F18" s="11" t="str">
        <x:v>8</x:v>
      </x:c>
      <x:c r="G18" s="11" t="str">
        <x:v>6</x:v>
      </x:c>
      <x:c r="H18" s="11" t="str">
        <x:v>52</x:v>
      </x:c>
      <x:c r="I18" s="11" t="str">
        <x:v>FAIL_BASELINE</x:v>
      </x:c>
      <x:c r="J18" s="11" t="str">
        <x:v>good automotive timers, hardware/simulator comparability cost</x:v>
      </x:c>
    </x:row>
  </x:sheetData>
  <x:mergeCells>
    <x:mergeCell ref="A1:J2"/>
  </x:mergeCells>
  <x:conditionalFormatting sqref="H5:H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0" hidden="0" customWidth="1"/>
    <x:col min="4" max="4" width="14" hidden="0" customWidth="1"/>
    <x:col min="5" max="5" width="58" hidden="0" customWidth="1"/>
    <x:col min="6" max="6" width="14" hidden="0" customWidth="1"/>
    <x:col min="7" max="7" width="72" hidden="0" customWidth="1"/>
    <x:col min="8" max="8" width="44" hidden="0" customWidth="1"/>
    <x:col min="9" max="9" width="35" hidden="0" customWidth="1"/>
    <x:col min="10" max="10" width="42" hidden="0" customWidth="1"/>
    <x:col min="11" max="11" width="30" hidden="0" customWidth="1"/>
    <x:col min="12" max="12" width="12" hidden="0" customWidth="1"/>
    <x:col min="13" max="13" width="14" hidden="0" customWidth="1"/>
    <x:col min="14" max="14" width="12" hidden="0" customWidth="1"/>
    <x:col min="15" max="15" width="10" hidden="0" customWidth="1"/>
    <x:col min="16" max="16" width="12" hidden="0" customWidth="1"/>
    <x:col min="17" max="17" width="9" hidden="0" customWidth="1"/>
    <x:col min="18" max="18" width="58" hidden="0" customWidth="1"/>
  </x:cols>
  <x:sheetData>
    <x:row r="1" ht="28" customHeight="1">
      <x:c r="A1" s="4" t="str">
        <x:v>20 条 SIP MITL 主性质</x:v>
      </x:c>
      <x:c r="B1" s="4" t="str">
        <x:v>20 条 SIP MITL 主性质</x:v>
      </x:c>
      <x:c r="C1" s="4" t="str">
        <x:v>20 条 SIP MITL 主性质</x:v>
      </x:c>
      <x:c r="D1" s="4" t="str">
        <x:v>20 条 SIP MITL 主性质</x:v>
      </x:c>
      <x:c r="E1" s="4" t="str">
        <x:v>20 条 SIP MITL 主性质</x:v>
      </x:c>
      <x:c r="F1" s="4" t="str">
        <x:v>20 条 SIP MITL 主性质</x:v>
      </x:c>
      <x:c r="G1" s="4" t="str">
        <x:v>20 条 SIP MITL 主性质</x:v>
      </x:c>
      <x:c r="H1" s="4" t="str">
        <x:v>20 条 SIP MITL 主性质</x:v>
      </x:c>
      <x:c r="I1" s="4" t="str">
        <x:v>20 条 SIP MITL 主性质</x:v>
      </x:c>
      <x:c r="J1" s="4" t="str">
        <x:v>20 条 SIP MITL 主性质</x:v>
      </x:c>
      <x:c r="K1" s="4" t="str">
        <x:v>20 条 SIP MITL 主性质</x:v>
      </x:c>
      <x:c r="L1" s="4" t="str">
        <x:v>20 条 SIP MITL 主性质</x:v>
      </x:c>
      <x:c r="M1" s="4" t="str">
        <x:v>20 条 SIP MITL 主性质</x:v>
      </x:c>
      <x:c r="N1" s="4" t="str">
        <x:v>20 条 SIP MITL 主性质</x:v>
      </x:c>
      <x:c r="O1" s="4" t="str">
        <x:v>20 条 SIP MITL 主性质</x:v>
      </x:c>
      <x:c r="P1" s="4" t="str">
        <x:v>20 条 SIP MITL 主性质</x:v>
      </x:c>
      <x:c r="Q1" s="4" t="str">
        <x:v>20 条 SIP MITL 主性质</x:v>
      </x:c>
      <x:c r="R1" s="4" t="str">
        <x:v>20 条 SIP MITL 主性质</x:v>
      </x:c>
    </x:row>
    <x:row r="2" ht="28" customHeight="1">
      <x:c r="A2" s="4" t="str">
        <x:v>20 条 SIP MITL 主性质</x:v>
      </x:c>
      <x:c r="B2" s="4" t="str">
        <x:v>20 条 SIP MITL 主性质</x:v>
      </x:c>
      <x:c r="C2" s="4" t="str">
        <x:v>20 条 SIP MITL 主性质</x:v>
      </x:c>
      <x:c r="D2" s="4" t="str">
        <x:v>20 条 SIP MITL 主性质</x:v>
      </x:c>
      <x:c r="E2" s="4" t="str">
        <x:v>20 条 SIP MITL 主性质</x:v>
      </x:c>
      <x:c r="F2" s="4" t="str">
        <x:v>20 条 SIP MITL 主性质</x:v>
      </x:c>
      <x:c r="G2" s="4" t="str">
        <x:v>20 条 SIP MITL 主性质</x:v>
      </x:c>
      <x:c r="H2" s="4" t="str">
        <x:v>20 条 SIP MITL 主性质</x:v>
      </x:c>
      <x:c r="I2" s="4" t="str">
        <x:v>20 条 SIP MITL 主性质</x:v>
      </x:c>
      <x:c r="J2" s="4" t="str">
        <x:v>20 条 SIP MITL 主性质</x:v>
      </x:c>
      <x:c r="K2" s="4" t="str">
        <x:v>20 条 SIP MITL 主性质</x:v>
      </x:c>
      <x:c r="L2" s="4" t="str">
        <x:v>20 条 SIP MITL 主性质</x:v>
      </x:c>
      <x:c r="M2" s="4" t="str">
        <x:v>20 条 SIP MITL 主性质</x:v>
      </x:c>
      <x:c r="N2" s="4" t="str">
        <x:v>20 条 SIP MITL 主性质</x:v>
      </x:c>
      <x:c r="O2" s="4" t="str">
        <x:v>20 条 SIP MITL 主性质</x:v>
      </x:c>
      <x:c r="P2" s="4" t="str">
        <x:v>20 条 SIP MITL 主性质</x:v>
      </x:c>
      <x:c r="Q2" s="4" t="str">
        <x:v>20 条 SIP MITL 主性质</x:v>
      </x:c>
      <x:c r="R2" s="4" t="str">
        <x:v>20 条 SIP MITL 主性质</x:v>
      </x:c>
    </x:row>
    <x:row r="4" ht="30" customHeight="1">
      <x:c r="A4" s="18" t="str">
        <x:v>ID</x:v>
      </x:c>
      <x:c r="B4" s="18" t="str">
        <x:v>Title</x:v>
      </x:c>
      <x:c r="C4" s="18" t="str">
        <x:v>RFC §</x:v>
      </x:c>
      <x:c r="D4" s="18" t="str">
        <x:v>Strength</x:v>
      </x:c>
      <x:c r="E4" s="18" t="str">
        <x:v>Requirement</x:v>
      </x:c>
      <x:c r="F4" s="18" t="str">
        <x:v>Time ms</x:v>
      </x:c>
      <x:c r="G4" s="18" t="str">
        <x:v>MightyPPL</x:v>
      </x:c>
      <x:c r="H4" s="18" t="str">
        <x:v>APs</x:v>
      </x:c>
      <x:c r="I4" s="18" t="str">
        <x:v>Semantics</x:v>
      </x:c>
      <x:c r="J4" s="18" t="str">
        <x:v>Source</x:v>
      </x:c>
      <x:c r="K4" s="18" t="str">
        <x:v>Symbol</x:v>
      </x:c>
      <x:c r="L4" s="18" t="str">
        <x:v>Lines</x:v>
      </x:c>
      <x:c r="M4" s="18" t="str">
        <x:v>Observability</x:v>
      </x:c>
      <x:c r="N4" s="18" t="str">
        <x:v>Confidence</x:v>
      </x:c>
      <x:c r="O4" s="18" t="str">
        <x:v>Build</x:v>
      </x:c>
      <x:c r="P4" s="18" t="str">
        <x:v>+/- Oracle</x:v>
      </x:c>
      <x:c r="Q4" s="18" t="str">
        <x:v>S/C</x:v>
      </x:c>
      <x:c r="R4" s="18" t="str">
        <x:v>Review question</x:v>
      </x:c>
    </x:row>
    <x:row r="5">
      <x:c r="A5" s="11" t="str">
        <x:v>SIP-TX-01</x:v>
      </x:c>
      <x:c r="B5" s="11" t="str">
        <x:v>Timer A initial schedule</x:v>
      </x:c>
      <x:c r="C5" s="11" t="str">
        <x:v>17.1.1.2</x:v>
      </x:c>
      <x:c r="D5" s="11" t="str">
        <x:v>MUST</x:v>
      </x:c>
      <x:c r="E5" s="11" t="str">
        <x:v>UDP INVITE 进入 Calling 后，Timer A 在 T1 前不得触发，并应在 T1 时触发或因事务停止而取消。</x:v>
      </x:c>
      <x:c r="F5" s="11" t="str">
        <x:v>500</x:v>
      </x:c>
      <x:c r="G5" s="11" t="str">
        <x:v>G* (udp_invite_sent -&gt; (G [0,500) (!timer_a_fired) &amp;&amp; F [0,500] (timer_a_fired || invite_transaction_stopped)))</x:v>
      </x:c>
      <x:c r="H5" s="11" t="str">
        <x:v>udp_invite_sent, timer_a_fired, invite_transaction_stopped</x:v>
      </x:c>
      <x:c r="I5" s="11" t="str">
        <x:v>strict pointwise; finite word; absolute integer milliseconds</x:v>
      </x:c>
      <x:c r="J5" s="11" t="str">
        <x:v>pjsip/src/pjsip/sip_transaction.c</x:v>
      </x:c>
      <x:c r="K5" s="11" t="str">
        <x:v>tsx_on_state_null</x:v>
      </x:c>
      <x:c r="L5" s="11" t="str">
        <x:v>2505-2524</x:v>
      </x:c>
      <x:c r="M5" s="11" t="str">
        <x:v>HYBRID</x:v>
      </x:c>
      <x:c r="N5" s="11" t="str">
        <x:v>HIGH</x:v>
      </x:c>
      <x:c r="O5" s="11" t="str">
        <x:v>PASS</x:v>
      </x:c>
      <x:c r="P5" s="11" t="str">
        <x:v>PASS</x:v>
      </x:c>
      <x:c r="Q5" s="11" t="str">
        <x:v>PASS</x:v>
      </x:c>
      <x:c r="R5" s="11" t="str">
        <x:v>请确认该事务投影与 RFC 角色/传输条件一致。</x:v>
      </x:c>
    </x:row>
    <x:row r="6">
      <x:c r="A6" s="11" t="str">
        <x:v>SIP-TX-02</x:v>
      </x:c>
      <x:c r="B6" s="11" t="str">
        <x:v>Timer A causes the first INVITE retransmission</x:v>
      </x:c>
      <x:c r="C6" s="11" t="str">
        <x:v>17.1.1.2</x:v>
      </x:c>
      <x:c r="D6" s="11" t="str">
        <x:v>MUST</x:v>
      </x:c>
      <x:c r="E6" s="11" t="str">
        <x:v>未被响应或停止的 UDP INVITE 必须在首个 T1 周期结束前产生第一次重传。</x:v>
      </x:c>
      <x:c r="F6" s="11" t="str">
        <x:v>500</x:v>
      </x:c>
      <x:c r="G6" s="11" t="str">
        <x:v>G* (udp_invite_sent -&gt; (G [0,500) (!invite_retransmitted) &amp;&amp; F [0,500] (invite_retransmitted || invite_transaction_stopped)))</x:v>
      </x:c>
      <x:c r="H6" s="11" t="str">
        <x:v>udp_invite_sent, invite_retransmitted, invite_transaction_stopped</x:v>
      </x:c>
      <x:c r="I6" s="11" t="str">
        <x:v>strict pointwise; finite word; absolute integer milliseconds</x:v>
      </x:c>
      <x:c r="J6" s="11" t="str">
        <x:v>pjsip/src/pjsip/sip_transaction.c</x:v>
      </x:c>
      <x:c r="K6" s="11" t="str">
        <x:v>tsx_on_state_calling</x:v>
      </x:c>
      <x:c r="L6" s="11" t="str">
        <x:v>2540-2555</x:v>
      </x:c>
      <x:c r="M6" s="11" t="str">
        <x:v>WHITEBOX</x:v>
      </x:c>
      <x:c r="N6" s="11" t="str">
        <x:v>HIGH</x:v>
      </x:c>
      <x:c r="O6" s="11" t="str">
        <x:v>PASS</x:v>
      </x:c>
      <x:c r="P6" s="11" t="str">
        <x:v>PASS</x:v>
      </x:c>
      <x:c r="Q6" s="11" t="str">
        <x:v>PASS</x:v>
      </x:c>
      <x:c r="R6" s="11" t="str">
        <x:v>请确认该事务投影与 RFC 角色/传输条件一致。</x:v>
      </x:c>
    </x:row>
    <x:row r="7">
      <x:c r="A7" s="11" t="str">
        <x:v>SIP-TX-03</x:v>
      </x:c>
      <x:c r="B7" s="11" t="str">
        <x:v>Timer A second interval doubles</x:v>
      </x:c>
      <x:c r="C7" s="11" t="str">
        <x:v>17.1.1.2</x:v>
      </x:c>
      <x:c r="D7" s="11" t="str">
        <x:v>MUST</x:v>
      </x:c>
      <x:c r="E7" s="11" t="str">
        <x:v>第一次 Timer A 周期完成后，下一次重传间隔必须为 2*T1，除非事务提前停止。</x:v>
      </x:c>
      <x:c r="F7" s="11" t="str">
        <x:v>500</x:v>
      </x:c>
      <x:c r="G7" s="11" t="str">
        <x:v>G* (timer_a_first_cycle_completed -&gt; (G [0,1000) (!invite_retransmitted) &amp;&amp; F [0,1000] (invite_retransmitted || invite_transaction_stopped)))</x:v>
      </x:c>
      <x:c r="H7" s="11" t="str">
        <x:v>timer_a_first_cycle_completed, invite_retransmitted, invite_transaction_stopped</x:v>
      </x:c>
      <x:c r="I7" s="11" t="str">
        <x:v>strict pointwise; finite word; absolute integer milliseconds</x:v>
      </x:c>
      <x:c r="J7" s="11" t="str">
        <x:v>pjsip/src/pjsip/sip_transaction.c</x:v>
      </x:c>
      <x:c r="K7" s="11" t="str">
        <x:v>tsx_resched_retransmission</x:v>
      </x:c>
      <x:c r="L7" s="11" t="str">
        <x:v>2336-2376</x:v>
      </x:c>
      <x:c r="M7" s="11" t="str">
        <x:v>WHITEBOX</x:v>
      </x:c>
      <x:c r="N7" s="11" t="str">
        <x:v>HIGH</x:v>
      </x:c>
      <x:c r="O7" s="11" t="str">
        <x:v>PASS</x:v>
      </x:c>
      <x:c r="P7" s="11" t="str">
        <x:v>PASS</x:v>
      </x:c>
      <x:c r="Q7" s="11" t="str">
        <x:v>PASS</x:v>
      </x:c>
      <x:c r="R7" s="11" t="str">
        <x:v>请确认该事务投影与 RFC 角色/传输条件一致。</x:v>
      </x:c>
    </x:row>
    <x:row r="8">
      <x:c r="A8" s="11" t="str">
        <x:v>SIP-TX-04</x:v>
      </x:c>
      <x:c r="B8" s="11" t="str">
        <x:v>Timer B transaction deadline</x:v>
      </x:c>
      <x:c r="C8" s="11" t="str">
        <x:v>17.1.1.2</x:v>
      </x:c>
      <x:c r="D8" s="11" t="str">
        <x:v>MUST/SHOULD</x:v>
      </x:c>
      <x:c r="E8" s="11" t="str">
        <x:v>INVITE 客户事务在 64*T1 前不得 Timer B 超时，并应在该时刻前收到最终响应或 Timer B 触发。</x:v>
      </x:c>
      <x:c r="F8" s="11" t="str">
        <x:v>32000</x:v>
      </x:c>
      <x:c r="G8" s="11" t="str">
        <x:v>G* (invite_client_calling_entered -&gt; (G [0,32000) (!timer_b_fired) &amp;&amp; F [0,32000] (timer_b_fired || invite_final_response_received)))</x:v>
      </x:c>
      <x:c r="H8" s="11" t="str">
        <x:v>invite_client_calling_entered, timer_b_fired, invite_final_response_received</x:v>
      </x:c>
      <x:c r="I8" s="11" t="str">
        <x:v>strict pointwise; finite word; absolute integer milliseconds</x:v>
      </x:c>
      <x:c r="J8" s="11" t="str">
        <x:v>pjsip/src/pjsip/sip_transaction.c</x:v>
      </x:c>
      <x:c r="K8" s="11" t="str">
        <x:v>tsx_on_state_null/tsx_on_state_calling</x:v>
      </x:c>
      <x:c r="L8" s="11" t="str">
        <x:v>2505-2512;2557-2570</x:v>
      </x:c>
      <x:c r="M8" s="11" t="str">
        <x:v>HYBRID</x:v>
      </x:c>
      <x:c r="N8" s="11" t="str">
        <x:v>HIGH</x:v>
      </x:c>
      <x:c r="O8" s="11" t="str">
        <x:v>PASS</x:v>
      </x:c>
      <x:c r="P8" s="11" t="str">
        <x:v>PASS</x:v>
      </x:c>
      <x:c r="Q8" s="11" t="str">
        <x:v>PASS</x:v>
      </x:c>
      <x:c r="R8" s="11" t="str">
        <x:v>请确认该事务投影与 RFC 角色/传输条件一致。</x:v>
      </x:c>
    </x:row>
    <x:row r="9">
      <x:c r="A9" s="11" t="str">
        <x:v>SIP-TX-05</x:v>
      </x:c>
      <x:c r="B9" s="11" t="str">
        <x:v>Provisional response stops INVITE retransmission</x:v>
      </x:c>
      <x:c r="C9" s="11" t="str">
        <x:v>17.1.1.2</x:v>
      </x:c>
      <x:c r="D9" s="11" t="str">
        <x:v>SHOULD NOT</x:v>
      </x:c>
      <x:c r="E9" s="11" t="str">
        <x:v>同一 INVITE 事务收到 1xx 后不应继续重传 INVITE。</x:v>
      </x:c>
      <x:c r="F9" s="11" t="str">
        <x:v>32000</x:v>
      </x:c>
      <x:c r="G9" s="11" t="str">
        <x:v>G* (invite_provisional_received -&gt; G* (!invite_retransmitted))</x:v>
      </x:c>
      <x:c r="H9" s="11" t="str">
        <x:v>invite_provisional_received, invite_retransmitted</x:v>
      </x:c>
      <x:c r="I9" s="11" t="str">
        <x:v>strict pointwise; finite word; absolute integer milliseconds</x:v>
      </x:c>
      <x:c r="J9" s="11" t="str">
        <x:v>pjsip/src/pjsip/sip_transaction.c</x:v>
      </x:c>
      <x:c r="K9" s="11" t="str">
        <x:v>tsx_on_state_calling</x:v>
      </x:c>
      <x:c r="L9" s="11" t="str">
        <x:v>2586-2623</x:v>
      </x:c>
      <x:c r="M9" s="11" t="str">
        <x:v>HYBRID</x:v>
      </x:c>
      <x:c r="N9" s="11" t="str">
        <x:v>HIGH</x:v>
      </x:c>
      <x:c r="O9" s="11" t="str">
        <x:v>PASS</x:v>
      </x:c>
      <x:c r="P9" s="11" t="str">
        <x:v>PASS</x:v>
      </x:c>
      <x:c r="Q9" s="11" t="str">
        <x:v>PASS</x:v>
      </x:c>
      <x:c r="R9" s="11" t="str">
        <x:v>SHOULD NOT 被用作异常 oracle；请确认是否作为论文主性质或降为软违反。</x:v>
      </x:c>
    </x:row>
    <x:row r="10">
      <x:c r="A10" s="11" t="str">
        <x:v>SIP-TX-06</x:v>
      </x:c>
      <x:c r="B10" s="11" t="str">
        <x:v>Timer D minimum retention</x:v>
      </x:c>
      <x:c r="C10" s="11" t="str">
        <x:v>17.1.1.2</x:v>
      </x:c>
      <x:c r="D10" s="11" t="str">
        <x:v>SHOULD</x:v>
      </x:c>
      <x:c r="E10" s="11" t="str">
        <x:v>UDP INVITE 客户事务进入 Completed 后至少 32 秒内不得终止。</x:v>
      </x:c>
      <x:c r="F10" s="11" t="str">
        <x:v>32000</x:v>
      </x:c>
      <x:c r="G10" s="11" t="str">
        <x:v>G* (udp_invite_client_completed -&gt; G [0,32000) (!transaction_terminated))</x:v>
      </x:c>
      <x:c r="H10" s="11" t="str">
        <x:v>udp_invite_client_completed, transaction_terminated</x:v>
      </x:c>
      <x:c r="I10" s="11" t="str">
        <x:v>strict pointwise; finite word; absolute integer milliseconds</x:v>
      </x:c>
      <x:c r="J10" s="11" t="str">
        <x:v>pjsip/src/pjsip/sip_transaction.c</x:v>
      </x:c>
      <x:c r="K10" s="11" t="str">
        <x:v>tsx_on_state_proceeding_uac</x:v>
      </x:c>
      <x:c r="L10" s="11" t="str">
        <x:v>3131-3196</x:v>
      </x:c>
      <x:c r="M10" s="11" t="str">
        <x:v>HYBRID</x:v>
      </x:c>
      <x:c r="N10" s="11" t="str">
        <x:v>HIGH</x:v>
      </x:c>
      <x:c r="O10" s="11" t="str">
        <x:v>PASS</x:v>
      </x:c>
      <x:c r="P10" s="11" t="str">
        <x:v>PASS</x:v>
      </x:c>
      <x:c r="Q10" s="11" t="str">
        <x:v>PASS</x:v>
      </x:c>
      <x:c r="R10" s="11" t="str">
        <x:v>请确认该事务投影与 RFC 角色/传输条件一致。</x:v>
      </x:c>
    </x:row>
    <x:row r="11">
      <x:c r="A11" s="11" t="str">
        <x:v>SIP-TX-07</x:v>
      </x:c>
      <x:c r="B11" s="11" t="str">
        <x:v>Timer E initial schedule</x:v>
      </x:c>
      <x:c r="C11" s="11" t="str">
        <x:v>17.1.2.2</x:v>
      </x:c>
      <x:c r="D11" s="11" t="str">
        <x:v>MUST</x:v>
      </x:c>
      <x:c r="E11" s="11" t="str">
        <x:v>UDP non-INVITE 进入 Trying 后，Timer E 在 T1 前不得触发，并应在 T1 时触发或因最终响应停止。</x:v>
      </x:c>
      <x:c r="F11" s="11" t="str">
        <x:v>500</x:v>
      </x:c>
      <x:c r="G11" s="11" t="str">
        <x:v>G* (udp_noninvite_sent -&gt; (G [0,500) (!timer_e_fired) &amp;&amp; F [0,500] (timer_e_fired || noninvite_final_response_received)))</x:v>
      </x:c>
      <x:c r="H11" s="11" t="str">
        <x:v>udp_noninvite_sent, timer_e_fired, noninvite_final_response_received</x:v>
      </x:c>
      <x:c r="I11" s="11" t="str">
        <x:v>strict pointwise; finite word; absolute integer milliseconds</x:v>
      </x:c>
      <x:c r="J11" s="11" t="str">
        <x:v>pjsip/src/pjsip/sip_transaction.c</x:v>
      </x:c>
      <x:c r="K11" s="11" t="str">
        <x:v>tsx_on_state_null</x:v>
      </x:c>
      <x:c r="L11" s="11" t="str">
        <x:v>2514-2524</x:v>
      </x:c>
      <x:c r="M11" s="11" t="str">
        <x:v>HYBRID</x:v>
      </x:c>
      <x:c r="N11" s="11" t="str">
        <x:v>HIGH</x:v>
      </x:c>
      <x:c r="O11" s="11" t="str">
        <x:v>PASS</x:v>
      </x:c>
      <x:c r="P11" s="11" t="str">
        <x:v>PASS</x:v>
      </x:c>
      <x:c r="Q11" s="11" t="str">
        <x:v>PASS</x:v>
      </x:c>
      <x:c r="R11" s="11" t="str">
        <x:v>请确认该事务投影与 RFC 角色/传输条件一致。</x:v>
      </x:c>
    </x:row>
    <x:row r="12">
      <x:c r="A12" s="11" t="str">
        <x:v>SIP-TX-08</x:v>
      </x:c>
      <x:c r="B12" s="11" t="str">
        <x:v>Timer E causes the first non-INVITE retransmission</x:v>
      </x:c>
      <x:c r="C12" s="11" t="str">
        <x:v>17.1.2.2</x:v>
      </x:c>
      <x:c r="D12" s="11" t="str">
        <x:v>MUST</x:v>
      </x:c>
      <x:c r="E12" s="11" t="str">
        <x:v>未收到最终响应的 UDP non-INVITE 必须在首个 T1 周期结束前产生第一次重传。</x:v>
      </x:c>
      <x:c r="F12" s="11" t="str">
        <x:v>500</x:v>
      </x:c>
      <x:c r="G12" s="11" t="str">
        <x:v>G* (udp_noninvite_sent -&gt; (G [0,500) (!noninvite_retransmitted) &amp;&amp; F [0,500] (noninvite_retransmitted || noninvite_final_response_received)))</x:v>
      </x:c>
      <x:c r="H12" s="11" t="str">
        <x:v>udp_noninvite_sent, noninvite_retransmitted, noninvite_final_response_received</x:v>
      </x:c>
      <x:c r="I12" s="11" t="str">
        <x:v>strict pointwise; finite word; absolute integer milliseconds</x:v>
      </x:c>
      <x:c r="J12" s="11" t="str">
        <x:v>pjsip/src/pjsip/sip_transaction.c</x:v>
      </x:c>
      <x:c r="K12" s="11" t="str">
        <x:v>tsx_on_state_calling</x:v>
      </x:c>
      <x:c r="L12" s="11" t="str">
        <x:v>2546-2555</x:v>
      </x:c>
      <x:c r="M12" s="11" t="str">
        <x:v>WHITEBOX</x:v>
      </x:c>
      <x:c r="N12" s="11" t="str">
        <x:v>HIGH</x:v>
      </x:c>
      <x:c r="O12" s="11" t="str">
        <x:v>PASS</x:v>
      </x:c>
      <x:c r="P12" s="11" t="str">
        <x:v>PASS</x:v>
      </x:c>
      <x:c r="Q12" s="11" t="str">
        <x:v>PASS</x:v>
      </x:c>
      <x:c r="R12" s="11" t="str">
        <x:v>请确认该事务投影与 RFC 角色/传输条件一致。</x:v>
      </x:c>
    </x:row>
    <x:row r="13">
      <x:c r="A13" s="11" t="str">
        <x:v>SIP-TX-09</x:v>
      </x:c>
      <x:c r="B13" s="11" t="str">
        <x:v>Timer E second interval doubles</x:v>
      </x:c>
      <x:c r="C13" s="11" t="str">
        <x:v>17.1.2.2</x:v>
      </x:c>
      <x:c r="D13" s="11" t="str">
        <x:v>MUST</x:v>
      </x:c>
      <x:c r="E13" s="11" t="str">
        <x:v>第一次 Timer E 周期完成后，下一次重传间隔必须为 MIN(2*T1,T2)。</x:v>
      </x:c>
      <x:c r="F13" s="11" t="str">
        <x:v>500/4000</x:v>
      </x:c>
      <x:c r="G13" s="11" t="str">
        <x:v>G* (timer_e_first_cycle_completed -&gt; (G [0,1000) (!noninvite_retransmitted) &amp;&amp; F [0,1000] (noninvite_retransmitted || noninvite_final_response_received)))</x:v>
      </x:c>
      <x:c r="H13" s="11" t="str">
        <x:v>timer_e_first_cycle_completed, noninvite_retransmitted, noninvite_final_response_received</x:v>
      </x:c>
      <x:c r="I13" s="11" t="str">
        <x:v>strict pointwise; finite word; absolute integer milliseconds</x:v>
      </x:c>
      <x:c r="J13" s="11" t="str">
        <x:v>pjsip/src/pjsip/sip_transaction.c</x:v>
      </x:c>
      <x:c r="K13" s="11" t="str">
        <x:v>tsx_resched_retransmission</x:v>
      </x:c>
      <x:c r="L13" s="11" t="str">
        <x:v>2342-2354</x:v>
      </x:c>
      <x:c r="M13" s="11" t="str">
        <x:v>WHITEBOX</x:v>
      </x:c>
      <x:c r="N13" s="11" t="str">
        <x:v>HIGH</x:v>
      </x:c>
      <x:c r="O13" s="11" t="str">
        <x:v>PASS</x:v>
      </x:c>
      <x:c r="P13" s="11" t="str">
        <x:v>PASS</x:v>
      </x:c>
      <x:c r="Q13" s="11" t="str">
        <x:v>PASS</x:v>
      </x:c>
      <x:c r="R13" s="11" t="str">
        <x:v>请确认该事务投影与 RFC 角色/传输条件一致。</x:v>
      </x:c>
    </x:row>
    <x:row r="14">
      <x:c r="A14" s="11" t="str">
        <x:v>SIP-TX-10</x:v>
      </x:c>
      <x:c r="B14" s="11" t="str">
        <x:v>Timer E switches to T2 after provisional</x:v>
      </x:c>
      <x:c r="C14" s="11" t="str">
        <x:v>17.1.2.2</x:v>
      </x:c>
      <x:c r="D14" s="11" t="str">
        <x:v>MUST</x:v>
      </x:c>
      <x:c r="E14" s="11" t="str">
        <x:v>收到 non-INVITE 1xx 后，Timer E 应切换为 T2；在 T2 前不得触发，并在 T2 时触发或被最终响应取消。</x:v>
      </x:c>
      <x:c r="F14" s="11" t="str">
        <x:v>4000</x:v>
      </x:c>
      <x:c r="G14" s="11" t="str">
        <x:v>G* (noninvite_provisional_received -&gt; (G [0,4000) (!timer_e_fired) &amp;&amp; F [0,4000] (timer_e_fired || noninvite_final_response_received)))</x:v>
      </x:c>
      <x:c r="H14" s="11" t="str">
        <x:v>noninvite_provisional_received, timer_e_fired, noninvite_final_response_received</x:v>
      </x:c>
      <x:c r="I14" s="11" t="str">
        <x:v>strict pointwise; finite word; absolute integer milliseconds</x:v>
      </x:c>
      <x:c r="J14" s="11" t="str">
        <x:v>pjsip/src/pjsip/sip_transaction.c</x:v>
      </x:c>
      <x:c r="K14" s="11" t="str">
        <x:v>tsx_on_state_calling</x:v>
      </x:c>
      <x:c r="L14" s="11" t="str">
        <x:v>2600-2623</x:v>
      </x:c>
      <x:c r="M14" s="11" t="str">
        <x:v>HYBRID</x:v>
      </x:c>
      <x:c r="N14" s="11" t="str">
        <x:v>HIGH</x:v>
      </x:c>
      <x:c r="O14" s="11" t="str">
        <x:v>PASS</x:v>
      </x:c>
      <x:c r="P14" s="11" t="str">
        <x:v>PASS</x:v>
      </x:c>
      <x:c r="Q14" s="11" t="str">
        <x:v>PASS</x:v>
      </x:c>
      <x:c r="R14" s="11" t="str">
        <x:v>请确认该事务投影与 RFC 角色/传输条件一致。</x:v>
      </x:c>
    </x:row>
    <x:row r="15">
      <x:c r="A15" s="11" t="str">
        <x:v>SIP-TX-11</x:v>
      </x:c>
      <x:c r="B15" s="11" t="str">
        <x:v>Timer F transaction deadline</x:v>
      </x:c>
      <x:c r="C15" s="11" t="str">
        <x:v>17.1.2.2</x:v>
      </x:c>
      <x:c r="D15" s="11" t="str">
        <x:v>SHOULD/MUST</x:v>
      </x:c>
      <x:c r="E15" s="11" t="str">
        <x:v>non-INVITE 客户事务在 64*T1 前不得 Timer F 超时，并应在该时刻前收到最终响应或 Timer F 触发。</x:v>
      </x:c>
      <x:c r="F15" s="11" t="str">
        <x:v>32000</x:v>
      </x:c>
      <x:c r="G15" s="11" t="str">
        <x:v>G* (noninvite_trying_entered -&gt; (G [0,32000) (!timer_f_fired) &amp;&amp; F [0,32000] (timer_f_fired || noninvite_final_response_received)))</x:v>
      </x:c>
      <x:c r="H15" s="11" t="str">
        <x:v>noninvite_trying_entered, timer_f_fired, noninvite_final_response_received</x:v>
      </x:c>
      <x:c r="I15" s="11" t="str">
        <x:v>strict pointwise; finite word; absolute integer milliseconds</x:v>
      </x:c>
      <x:c r="J15" s="11" t="str">
        <x:v>pjsip/src/pjsip/sip_transaction.c</x:v>
      </x:c>
      <x:c r="K15" s="11" t="str">
        <x:v>tsx_on_state_null/tsx_on_state_calling</x:v>
      </x:c>
      <x:c r="L15" s="11" t="str">
        <x:v>2505-2512;2557-2570</x:v>
      </x:c>
      <x:c r="M15" s="11" t="str">
        <x:v>HYBRID</x:v>
      </x:c>
      <x:c r="N15" s="11" t="str">
        <x:v>HIGH</x:v>
      </x:c>
      <x:c r="O15" s="11" t="str">
        <x:v>PASS</x:v>
      </x:c>
      <x:c r="P15" s="11" t="str">
        <x:v>PASS</x:v>
      </x:c>
      <x:c r="Q15" s="11" t="str">
        <x:v>PASS</x:v>
      </x:c>
      <x:c r="R15" s="11" t="str">
        <x:v>请确认该事务投影与 RFC 角色/传输条件一致。</x:v>
      </x:c>
    </x:row>
    <x:row r="16">
      <x:c r="A16" s="11" t="str">
        <x:v>SIP-TX-12</x:v>
      </x:c>
      <x:c r="B16" s="11" t="str">
        <x:v>Timer K retention</x:v>
      </x:c>
      <x:c r="C16" s="11" t="str">
        <x:v>17.1.2.2</x:v>
      </x:c>
      <x:c r="D16" s="11" t="str">
        <x:v>MUST</x:v>
      </x:c>
      <x:c r="E16" s="11" t="str">
        <x:v>UDP non-INVITE 客户事务进入 Completed 后保持 T4，然后在 Timer K 触发时终止。</x:v>
      </x:c>
      <x:c r="F16" s="11" t="str">
        <x:v>5000</x:v>
      </x:c>
      <x:c r="G16" s="11" t="str">
        <x:v>G* (udp_noninvite_client_completed -&gt; (G [0,5000) (!transaction_terminated) &amp;&amp; F [0,5000] transaction_terminated))</x:v>
      </x:c>
      <x:c r="H16" s="11" t="str">
        <x:v>udp_noninvite_client_completed, transaction_terminated</x:v>
      </x:c>
      <x:c r="I16" s="11" t="str">
        <x:v>strict pointwise; finite word; absolute integer milliseconds</x:v>
      </x:c>
      <x:c r="J16" s="11" t="str">
        <x:v>pjsip/src/pjsip/sip_transaction.c</x:v>
      </x:c>
      <x:c r="K16" s="11" t="str">
        <x:v>tsx_on_state_proceeding_uac</x:v>
      </x:c>
      <x:c r="L16" s="11" t="str">
        <x:v>3037-3069</x:v>
      </x:c>
      <x:c r="M16" s="11" t="str">
        <x:v>HYBRID</x:v>
      </x:c>
      <x:c r="N16" s="11" t="str">
        <x:v>HIGH</x:v>
      </x:c>
      <x:c r="O16" s="11" t="str">
        <x:v>PASS</x:v>
      </x:c>
      <x:c r="P16" s="11" t="str">
        <x:v>PASS</x:v>
      </x:c>
      <x:c r="Q16" s="11" t="str">
        <x:v>PASS</x:v>
      </x:c>
      <x:c r="R16" s="11" t="str">
        <x:v>请确认该事务投影与 RFC 角色/传输条件一致。</x:v>
      </x:c>
    </x:row>
    <x:row r="17">
      <x:c r="A17" s="11" t="str">
        <x:v>SIP-TX-13</x:v>
      </x:c>
      <x:c r="B17" s="11" t="str">
        <x:v>Timer G initial schedule</x:v>
      </x:c>
      <x:c r="C17" s="11" t="str">
        <x:v>17.2.1</x:v>
      </x:c>
      <x:c r="D17" s="11" t="str">
        <x:v>MUST</x:v>
      </x:c>
      <x:c r="E17" s="11" t="str">
        <x:v>UDP INVITE 服务事务发出 300--699 并进入 Completed 后，Timer G 在 T1 前不得触发。</x:v>
      </x:c>
      <x:c r="F17" s="11" t="str">
        <x:v>500</x:v>
      </x:c>
      <x:c r="G17" s="11" t="str">
        <x:v>G* (udp_invite_server_completed -&gt; (G [0,500) (!timer_g_fired) &amp;&amp; F [0,500] (timer_g_fired || ack_received)))</x:v>
      </x:c>
      <x:c r="H17" s="11" t="str">
        <x:v>udp_invite_server_completed, timer_g_fired, ack_received</x:v>
      </x:c>
      <x:c r="I17" s="11" t="str">
        <x:v>strict pointwise; finite word; absolute integer milliseconds</x:v>
      </x:c>
      <x:c r="J17" s="11" t="str">
        <x:v>pjsip/src/pjsip/sip_transaction.c</x:v>
      </x:c>
      <x:c r="K17" s="11" t="str">
        <x:v>tsx_on_state_proceeding_uas</x:v>
      </x:c>
      <x:c r="L17" s="11" t="str">
        <x:v>2865-2915</x:v>
      </x:c>
      <x:c r="M17" s="11" t="str">
        <x:v>HYBRID</x:v>
      </x:c>
      <x:c r="N17" s="11" t="str">
        <x:v>HIGH</x:v>
      </x:c>
      <x:c r="O17" s="11" t="str">
        <x:v>PASS</x:v>
      </x:c>
      <x:c r="P17" s="11" t="str">
        <x:v>PASS</x:v>
      </x:c>
      <x:c r="Q17" s="11" t="str">
        <x:v>PASS</x:v>
      </x:c>
      <x:c r="R17" s="11" t="str">
        <x:v>请确认该事务投影与 RFC 角色/传输条件一致。</x:v>
      </x:c>
    </x:row>
    <x:row r="18">
      <x:c r="A18" s="11" t="str">
        <x:v>SIP-TX-14</x:v>
      </x:c>
      <x:c r="B18" s="11" t="str">
        <x:v>Timer G causes the first final-response retransmission</x:v>
      </x:c>
      <x:c r="C18" s="11" t="str">
        <x:v>17.2.1</x:v>
      </x:c>
      <x:c r="D18" s="11" t="str">
        <x:v>MUST</x:v>
      </x:c>
      <x:c r="E18" s="11" t="str">
        <x:v>未收到 ACK 的 UDP INVITE 服务事务必须在首个 T1 周期结束前重传 300--699 最终响应。</x:v>
      </x:c>
      <x:c r="F18" s="11" t="str">
        <x:v>500</x:v>
      </x:c>
      <x:c r="G18" s="11" t="str">
        <x:v>G* (udp_invite_server_completed -&gt; (G [0,500) (!final_response_retransmitted) &amp;&amp; F [0,500] (final_response_retransmitted || ack_received)))</x:v>
      </x:c>
      <x:c r="H18" s="11" t="str">
        <x:v>udp_invite_server_completed, final_response_retransmitted, ack_received</x:v>
      </x:c>
      <x:c r="I18" s="11" t="str">
        <x:v>strict pointwise; finite word; absolute integer milliseconds</x:v>
      </x:c>
      <x:c r="J18" s="11" t="str">
        <x:v>pjsip/src/pjsip/sip_transaction.c</x:v>
      </x:c>
      <x:c r="K18" s="11" t="str">
        <x:v>tsx_on_state_proceeding_uas</x:v>
      </x:c>
      <x:c r="L18" s="11" t="str">
        <x:v>2928-2944</x:v>
      </x:c>
      <x:c r="M18" s="11" t="str">
        <x:v>WHITEBOX</x:v>
      </x:c>
      <x:c r="N18" s="11" t="str">
        <x:v>HIGH</x:v>
      </x:c>
      <x:c r="O18" s="11" t="str">
        <x:v>PASS</x:v>
      </x:c>
      <x:c r="P18" s="11" t="str">
        <x:v>PASS</x:v>
      </x:c>
      <x:c r="Q18" s="11" t="str">
        <x:v>PASS</x:v>
      </x:c>
      <x:c r="R18" s="11" t="str">
        <x:v>请确认该事务投影与 RFC 角色/传输条件一致。</x:v>
      </x:c>
    </x:row>
    <x:row r="19">
      <x:c r="A19" s="11" t="str">
        <x:v>SIP-TX-15</x:v>
      </x:c>
      <x:c r="B19" s="11" t="str">
        <x:v>Timer G second interval doubles</x:v>
      </x:c>
      <x:c r="C19" s="11" t="str">
        <x:v>17.2.1</x:v>
      </x:c>
      <x:c r="D19" s="11" t="str">
        <x:v>MUST</x:v>
      </x:c>
      <x:c r="E19" s="11" t="str">
        <x:v>第一次 Timer G 周期完成后，下一次最终响应重传间隔必须为 MIN(2*T1,T2)。</x:v>
      </x:c>
      <x:c r="F19" s="11" t="str">
        <x:v>500/4000</x:v>
      </x:c>
      <x:c r="G19" s="11" t="str">
        <x:v>G* (timer_g_first_cycle_completed -&gt; (G [0,1000) (!final_response_retransmitted) &amp;&amp; F [0,1000] (final_response_retransmitted || ack_received)))</x:v>
      </x:c>
      <x:c r="H19" s="11" t="str">
        <x:v>timer_g_first_cycle_completed, final_response_retransmitted, ack_received</x:v>
      </x:c>
      <x:c r="I19" s="11" t="str">
        <x:v>strict pointwise; finite word; absolute integer milliseconds</x:v>
      </x:c>
      <x:c r="J19" s="11" t="str">
        <x:v>pjsip/src/pjsip/sip_transaction.c</x:v>
      </x:c>
      <x:c r="K19" s="11" t="str">
        <x:v>tsx_resched_retransmission</x:v>
      </x:c>
      <x:c r="L19" s="11" t="str">
        <x:v>2355-2367</x:v>
      </x:c>
      <x:c r="M19" s="11" t="str">
        <x:v>WHITEBOX</x:v>
      </x:c>
      <x:c r="N19" s="11" t="str">
        <x:v>HIGH</x:v>
      </x:c>
      <x:c r="O19" s="11" t="str">
        <x:v>PASS</x:v>
      </x:c>
      <x:c r="P19" s="11" t="str">
        <x:v>PASS</x:v>
      </x:c>
      <x:c r="Q19" s="11" t="str">
        <x:v>PASS</x:v>
      </x:c>
      <x:c r="R19" s="11" t="str">
        <x:v>请确认该事务投影与 RFC 角色/传输条件一致。</x:v>
      </x:c>
    </x:row>
    <x:row r="20">
      <x:c r="A20" s="11" t="str">
        <x:v>SIP-TX-16</x:v>
      </x:c>
      <x:c r="B20" s="11" t="str">
        <x:v>Timer H transaction deadline</x:v>
      </x:c>
      <x:c r="C20" s="11" t="str">
        <x:v>17.2.1</x:v>
      </x:c>
      <x:c r="D20" s="11" t="str">
        <x:v>MUST</x:v>
      </x:c>
      <x:c r="E20" s="11" t="str">
        <x:v>INVITE 服务事务进入 Completed 后，Timer H 在 64*T1 前不得触发，并应在期限内收到 ACK 或 Timer H 触发。</x:v>
      </x:c>
      <x:c r="F20" s="11" t="str">
        <x:v>32000</x:v>
      </x:c>
      <x:c r="G20" s="11" t="str">
        <x:v>G* (invite_server_completed -&gt; (G [0,32000) (!timer_h_fired) &amp;&amp; F [0,32000] (timer_h_fired || ack_received)))</x:v>
      </x:c>
      <x:c r="H20" s="11" t="str">
        <x:v>invite_server_completed, timer_h_fired, ack_received</x:v>
      </x:c>
      <x:c r="I20" s="11" t="str">
        <x:v>strict pointwise; finite word; absolute integer milliseconds</x:v>
      </x:c>
      <x:c r="J20" s="11" t="str">
        <x:v>pjsip/src/pjsip/sip_transaction.c</x:v>
      </x:c>
      <x:c r="K20" s="11" t="str">
        <x:v>tsx_on_state_proceeding_uas/tsx_on_state_completed_uas</x:v>
      </x:c>
      <x:c r="L20" s="11" t="str">
        <x:v>2878-2888;3285-3295</x:v>
      </x:c>
      <x:c r="M20" s="11" t="str">
        <x:v>HYBRID</x:v>
      </x:c>
      <x:c r="N20" s="11" t="str">
        <x:v>HIGH</x:v>
      </x:c>
      <x:c r="O20" s="11" t="str">
        <x:v>PASS</x:v>
      </x:c>
      <x:c r="P20" s="11" t="str">
        <x:v>PASS</x:v>
      </x:c>
      <x:c r="Q20" s="11" t="str">
        <x:v>PASS</x:v>
      </x:c>
      <x:c r="R20" s="11" t="str">
        <x:v>请确认该事务投影与 RFC 角色/传输条件一致。</x:v>
      </x:c>
    </x:row>
    <x:row r="21">
      <x:c r="A21" s="11" t="str">
        <x:v>SIP-TX-17</x:v>
      </x:c>
      <x:c r="B21" s="11" t="str">
        <x:v>ACK stops Timer G retransmissions</x:v>
      </x:c>
      <x:c r="C21" s="11" t="str">
        <x:v>17.2.1</x:v>
      </x:c>
      <x:c r="D21" s="11" t="str">
        <x:v>MUST</x:v>
      </x:c>
      <x:c r="E21" s="11" t="str">
        <x:v>Completed 中收到匹配 ACK 后，最终响应重传必须停止。</x:v>
      </x:c>
      <x:c r="F21" s="11" t="str">
        <x:v>5000</x:v>
      </x:c>
      <x:c r="G21" s="11" t="str">
        <x:v>G* (ack_received -&gt; G* (!final_response_retransmitted))</x:v>
      </x:c>
      <x:c r="H21" s="11" t="str">
        <x:v>ack_received, final_response_retransmitted</x:v>
      </x:c>
      <x:c r="I21" s="11" t="str">
        <x:v>strict pointwise; finite word; absolute integer milliseconds</x:v>
      </x:c>
      <x:c r="J21" s="11" t="str">
        <x:v>pjsip/src/pjsip/sip_transaction.c</x:v>
      </x:c>
      <x:c r="K21" s="11" t="str">
        <x:v>tsx_on_state_completed_uas</x:v>
      </x:c>
      <x:c r="L21" s="11" t="str">
        <x:v>3232-3271</x:v>
      </x:c>
      <x:c r="M21" s="11" t="str">
        <x:v>HYBRID</x:v>
      </x:c>
      <x:c r="N21" s="11" t="str">
        <x:v>HIGH</x:v>
      </x:c>
      <x:c r="O21" s="11" t="str">
        <x:v>PASS</x:v>
      </x:c>
      <x:c r="P21" s="11" t="str">
        <x:v>PASS</x:v>
      </x:c>
      <x:c r="Q21" s="11" t="str">
        <x:v>PASS</x:v>
      </x:c>
      <x:c r="R21" s="11" t="str">
        <x:v>请确认该事务投影与 RFC 角色/传输条件一致。</x:v>
      </x:c>
    </x:row>
    <x:row r="22">
      <x:c r="A22" s="11" t="str">
        <x:v>SIP-TX-18</x:v>
      </x:c>
      <x:c r="B22" s="11" t="str">
        <x:v>Timer I retention</x:v>
      </x:c>
      <x:c r="C22" s="11" t="str">
        <x:v>17.2.1</x:v>
      </x:c>
      <x:c r="D22" s="11" t="str">
        <x:v>MUST</x:v>
      </x:c>
      <x:c r="E22" s="11" t="str">
        <x:v>UDP INVITE 服务事务进入 Confirmed 后保持 T4，并在 Timer I 触发时终止。</x:v>
      </x:c>
      <x:c r="F22" s="11" t="str">
        <x:v>5000</x:v>
      </x:c>
      <x:c r="G22" s="11" t="str">
        <x:v>G* (udp_invite_server_confirmed -&gt; (G [0,5000) (!transaction_terminated) &amp;&amp; F [0,5000] transaction_terminated))</x:v>
      </x:c>
      <x:c r="H22" s="11" t="str">
        <x:v>udp_invite_server_confirmed, transaction_terminated</x:v>
      </x:c>
      <x:c r="I22" s="11" t="str">
        <x:v>strict pointwise; finite word; absolute integer milliseconds</x:v>
      </x:c>
      <x:c r="J22" s="11" t="str">
        <x:v>pjsip/src/pjsip/sip_transaction.c</x:v>
      </x:c>
      <x:c r="K22" s="11" t="str">
        <x:v>tsx_on_state_completed_uas/tsx_on_state_confirmed</x:v>
      </x:c>
      <x:c r="L22" s="11" t="str">
        <x:v>3251-3267;3399-3411</x:v>
      </x:c>
      <x:c r="M22" s="11" t="str">
        <x:v>HYBRID</x:v>
      </x:c>
      <x:c r="N22" s="11" t="str">
        <x:v>HIGH</x:v>
      </x:c>
      <x:c r="O22" s="11" t="str">
        <x:v>PASS</x:v>
      </x:c>
      <x:c r="P22" s="11" t="str">
        <x:v>PASS</x:v>
      </x:c>
      <x:c r="Q22" s="11" t="str">
        <x:v>PASS</x:v>
      </x:c>
      <x:c r="R22" s="11" t="str">
        <x:v>请确认该事务投影与 RFC 角色/传输条件一致。</x:v>
      </x:c>
    </x:row>
    <x:row r="23">
      <x:c r="A23" s="11" t="str">
        <x:v>SIP-TX-19</x:v>
      </x:c>
      <x:c r="B23" s="11" t="str">
        <x:v>Timer J retention</x:v>
      </x:c>
      <x:c r="C23" s="11" t="str">
        <x:v>17.2.2</x:v>
      </x:c>
      <x:c r="D23" s="11" t="str">
        <x:v>MUST</x:v>
      </x:c>
      <x:c r="E23" s="11" t="str">
        <x:v>UDP non-INVITE 服务事务进入 Completed 后保持 64*T1，并在 Timer J 触发时终止。</x:v>
      </x:c>
      <x:c r="F23" s="11" t="str">
        <x:v>32000</x:v>
      </x:c>
      <x:c r="G23" s="11" t="str">
        <x:v>G* (udp_noninvite_server_completed -&gt; (G [0,32000) (!transaction_terminated) &amp;&amp; F [0,32000] transaction_terminated))</x:v>
      </x:c>
      <x:c r="H23" s="11" t="str">
        <x:v>udp_noninvite_server_completed, transaction_terminated</x:v>
      </x:c>
      <x:c r="I23" s="11" t="str">
        <x:v>strict pointwise; finite word; absolute integer milliseconds</x:v>
      </x:c>
      <x:c r="J23" s="11" t="str">
        <x:v>pjsip/src/pjsip/sip_transaction.c</x:v>
      </x:c>
      <x:c r="K23" s="11" t="str">
        <x:v>tsx_on_state_proceeding_uas/tsx_on_state_completed_uas</x:v>
      </x:c>
      <x:c r="L23" s="11" t="str">
        <x:v>2889-2897;3299-3303</x:v>
      </x:c>
      <x:c r="M23" s="11" t="str">
        <x:v>HYBRID</x:v>
      </x:c>
      <x:c r="N23" s="11" t="str">
        <x:v>HIGH</x:v>
      </x:c>
      <x:c r="O23" s="11" t="str">
        <x:v>PASS</x:v>
      </x:c>
      <x:c r="P23" s="11" t="str">
        <x:v>PASS</x:v>
      </x:c>
      <x:c r="Q23" s="11" t="str">
        <x:v>PASS</x:v>
      </x:c>
      <x:c r="R23" s="11" t="str">
        <x:v>请确认该事务投影与 RFC 角色/传输条件一致。</x:v>
      </x:c>
    </x:row>
    <x:row r="24">
      <x:c r="A24" s="11" t="str">
        <x:v>SIP-TX-20</x:v>
      </x:c>
      <x:c r="B24" s="11" t="str">
        <x:v>Timer C exceeds three minutes</x:v>
      </x:c>
      <x:c r="C24" s="11" t="str">
        <x:v>16.6</x:v>
      </x:c>
      <x:c r="D24" s="11" t="str">
        <x:v>MUST</x:v>
      </x:c>
      <x:c r="E24" s="11" t="str">
        <x:v>有状态代理转发每个 INVITE 客户事务时必须设置 Timer C，且 3 分钟内（含边界）不得触发。</x:v>
      </x:c>
      <x:c r="F24" s="11" t="str">
        <x:v>180000</x:v>
      </x:c>
      <x:c r="G24" s="11" t="str">
        <x:v>G* (proxy_invite_forwarded -&gt; G [0,180000] (!timer_c_fired))</x:v>
      </x:c>
      <x:c r="H24" s="11" t="str">
        <x:v>proxy_invite_forwarded, timer_c_fired</x:v>
      </x:c>
      <x:c r="I24" s="11" t="str">
        <x:v>strict pointwise; finite word; absolute integer milliseconds</x:v>
      </x:c>
      <x:c r="J24" s="11" t="str">
        <x:v>src/modules/tm/timer.h</x:v>
      </x:c>
      <x:c r="K24" s="11" t="str">
        <x:v>_set_fr_retr</x:v>
      </x:c>
      <x:c r="L24" s="11" t="str">
        <x:v>171-200</x:v>
      </x:c>
      <x:c r="M24" s="11" t="str">
        <x:v>HYBRID</x:v>
      </x:c>
      <x:c r="N24" s="11" t="str">
        <x:v>HIGH</x:v>
      </x:c>
      <x:c r="O24" s="11" t="str">
        <x:v>PASS</x:v>
      </x:c>
      <x:c r="P24" s="11" t="str">
        <x:v>PASS</x:v>
      </x:c>
      <x:c r="Q24" s="11" t="str">
        <x:v>PASS</x:v>
      </x:c>
      <x:c r="R24" s="11" t="str">
        <x:v>RFC 要求严格大于 3 分钟；Kamailio 的 180000 ms 默认值需要人工判断为实现偏差、代理级 lifetime 近似或配置要求。</x:v>
      </x:c>
    </x:row>
  </x:sheetData>
  <x:mergeCells>
    <x:mergeCell ref="A1:R2"/>
  </x:mergeCells>
  <x:conditionalFormatting sqref="O5:Q24">
    <x:cfRule type="containsText" dxfId="0" priority="1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4" hidden="0" customWidth="1"/>
    <x:col min="4" max="4" width="44" hidden="0" customWidth="1"/>
    <x:col min="5" max="5" width="34" hidden="0" customWidth="1"/>
    <x:col min="6" max="6" width="14" hidden="0" customWidth="1"/>
    <x:col min="7" max="7" width="70" hidden="0" customWidth="1"/>
    <x:col min="8" max="8" width="15" hidden="0" customWidth="1"/>
    <x:col min="9" max="9" width="85" hidden="0" customWidth="1"/>
  </x:cols>
  <x:sheetData>
    <x:row r="1" ht="28" customHeight="1">
      <x:c r="A1" s="4" t="str">
        <x:v>固定提交源码插桩位置</x:v>
      </x:c>
      <x:c r="B1" s="4" t="str">
        <x:v>固定提交源码插桩位置</x:v>
      </x:c>
      <x:c r="C1" s="4" t="str">
        <x:v>固定提交源码插桩位置</x:v>
      </x:c>
      <x:c r="D1" s="4" t="str">
        <x:v>固定提交源码插桩位置</x:v>
      </x:c>
      <x:c r="E1" s="4" t="str">
        <x:v>固定提交源码插桩位置</x:v>
      </x:c>
      <x:c r="F1" s="4" t="str">
        <x:v>固定提交源码插桩位置</x:v>
      </x:c>
      <x:c r="G1" s="4" t="str">
        <x:v>固定提交源码插桩位置</x:v>
      </x:c>
      <x:c r="H1" s="4" t="str">
        <x:v>固定提交源码插桩位置</x:v>
      </x:c>
      <x:c r="I1" s="4" t="str">
        <x:v>固定提交源码插桩位置</x:v>
      </x:c>
    </x:row>
    <x:row r="2" ht="28" customHeight="1">
      <x:c r="A2" s="4" t="str">
        <x:v>固定提交源码插桩位置</x:v>
      </x:c>
      <x:c r="B2" s="4" t="str">
        <x:v>固定提交源码插桩位置</x:v>
      </x:c>
      <x:c r="C2" s="4" t="str">
        <x:v>固定提交源码插桩位置</x:v>
      </x:c>
      <x:c r="D2" s="4" t="str">
        <x:v>固定提交源码插桩位置</x:v>
      </x:c>
      <x:c r="E2" s="4" t="str">
        <x:v>固定提交源码插桩位置</x:v>
      </x:c>
      <x:c r="F2" s="4" t="str">
        <x:v>固定提交源码插桩位置</x:v>
      </x:c>
      <x:c r="G2" s="4" t="str">
        <x:v>固定提交源码插桩位置</x:v>
      </x:c>
      <x:c r="H2" s="4" t="str">
        <x:v>固定提交源码插桩位置</x:v>
      </x:c>
      <x:c r="I2" s="4" t="str">
        <x:v>固定提交源码插桩位置</x:v>
      </x:c>
    </x:row>
    <x:row r="4" ht="30" customHeight="1">
      <x:c r="A4" s="18" t="str">
        <x:v>property_id</x:v>
      </x:c>
      <x:c r="B4" s="18" t="str">
        <x:v>repository</x:v>
      </x:c>
      <x:c r="C4" s="18" t="str">
        <x:v>commit</x:v>
      </x:c>
      <x:c r="D4" s="18" t="str">
        <x:v>file</x:v>
      </x:c>
      <x:c r="E4" s="18" t="str">
        <x:v>symbol</x:v>
      </x:c>
      <x:c r="F4" s="18" t="str">
        <x:v>lines</x:v>
      </x:c>
      <x:c r="G4" s="18" t="str">
        <x:v>hook_timing</x:v>
      </x:c>
      <x:c r="H4" s="18" t="str">
        <x:v>observability</x:v>
      </x:c>
      <x:c r="I4" s="18" t="str">
        <x:v>source_url</x:v>
      </x:c>
    </x:row>
    <x:row r="5">
      <x:c r="A5" s="11" t="str">
        <x:v>SIP-TX-01</x:v>
      </x:c>
      <x:c r="B5" s="11" t="str">
        <x:v>pjsip/pjproject</x:v>
      </x:c>
      <x:c r="C5" s="11" t="str">
        <x:v>bba95b8a95c0a9e8c1939166fd20083ae9e3e956</x:v>
      </x:c>
      <x:c r="D5" s="11" t="str">
        <x:v>pjsip/src/pjsip/sip_transaction.c</x:v>
      </x:c>
      <x:c r="E5" s="11" t="str">
        <x:v>tsx_on_state_null</x:v>
      </x:c>
      <x:c r="F5" s="11" t="str">
        <x:v>2505-2524</x:v>
      </x:c>
      <x:c r="G5" s="11" t="str">
        <x:v>在首次 INVITE 发送和 tsx_schedule_timer(T1) 后原子记录。</x:v>
      </x:c>
      <x:c r="H5" s="11" t="str">
        <x:v>HYBRID</x:v>
      </x:c>
      <x:c r="I5" s="11" t="str">
        <x:v>https://github.com/pjsip/pjproject/blob/bba95b8a95c0a9e8c1939166fd20083ae9e3e956/pjsip/src/pjsip/sip_transaction.c#L2505</x:v>
      </x:c>
    </x:row>
    <x:row r="6">
      <x:c r="A6" s="11" t="str">
        <x:v>SIP-TX-02</x:v>
      </x:c>
      <x:c r="B6" s="11" t="str">
        <x:v>pjsip/pjproject</x:v>
      </x:c>
      <x:c r="C6" s="11" t="str">
        <x:v>bba95b8a95c0a9e8c1939166fd20083ae9e3e956</x:v>
      </x:c>
      <x:c r="D6" s="11" t="str">
        <x:v>pjsip/src/pjsip/sip_transaction.c</x:v>
      </x:c>
      <x:c r="E6" s="11" t="str">
        <x:v>tsx_on_state_calling</x:v>
      </x:c>
      <x:c r="F6" s="11" t="str">
        <x:v>2540-2555</x:v>
      </x:c>
      <x:c r="G6" s="11" t="str">
        <x:v>在 Timer 回调进入后、tsx_retransmit 返回成功时合并同一 microstep。</x:v>
      </x:c>
      <x:c r="H6" s="11" t="str">
        <x:v>WHITEBOX</x:v>
      </x:c>
      <x:c r="I6" s="11" t="str">
        <x:v>https://github.com/pjsip/pjproject/blob/bba95b8a95c0a9e8c1939166fd20083ae9e3e956/pjsip/src/pjsip/sip_transaction.c#L2540</x:v>
      </x:c>
    </x:row>
    <x:row r="7">
      <x:c r="A7" s="11" t="str">
        <x:v>SIP-TX-03</x:v>
      </x:c>
      <x:c r="B7" s="11" t="str">
        <x:v>pjsip/pjproject</x:v>
      </x:c>
      <x:c r="C7" s="11" t="str">
        <x:v>bba95b8a95c0a9e8c1939166fd20083ae9e3e956</x:v>
      </x:c>
      <x:c r="D7" s="11" t="str">
        <x:v>pjsip/src/pjsip/sip_transaction.c</x:v>
      </x:c>
      <x:c r="E7" s="11" t="str">
        <x:v>tsx_resched_retransmission</x:v>
      </x:c>
      <x:c r="F7" s="11" t="str">
        <x:v>2336-2376</x:v>
      </x:c>
      <x:c r="G7" s="11" t="str">
        <x:v>在计算 msec_time 并重新调度之后记录 derived AP；同时保留 old/new interval 字段。</x:v>
      </x:c>
      <x:c r="H7" s="11" t="str">
        <x:v>WHITEBOX</x:v>
      </x:c>
      <x:c r="I7" s="11" t="str">
        <x:v>https://github.com/pjsip/pjproject/blob/bba95b8a95c0a9e8c1939166fd20083ae9e3e956/pjsip/src/pjsip/sip_transaction.c#L2336</x:v>
      </x:c>
    </x:row>
    <x:row r="8">
      <x:c r="A8" s="11" t="str">
        <x:v>SIP-TX-04</x:v>
      </x:c>
      <x:c r="B8" s="11" t="str">
        <x:v>pjsip/pjproject</x:v>
      </x:c>
      <x:c r="C8" s="11" t="str">
        <x:v>bba95b8a95c0a9e8c1939166fd20083ae9e3e956</x:v>
      </x:c>
      <x:c r="D8" s="11" t="str">
        <x:v>pjsip/src/pjsip/sip_transaction.c</x:v>
      </x:c>
      <x:c r="E8" s="11" t="str">
        <x:v>tsx_on_state_null/tsx_on_state_calling</x:v>
      </x:c>
      <x:c r="F8" s="11" t="str">
        <x:v>2505-2512;2557-2570</x:v>
      </x:c>
      <x:c r="G8" s="11" t="str">
        <x:v>在 timeout_timer 调度与回调处分开记录 start/fire；最终响应为替代终止事件。</x:v>
      </x:c>
      <x:c r="H8" s="11" t="str">
        <x:v>HYBRID</x:v>
      </x:c>
      <x:c r="I8" s="11" t="str">
        <x:v>https://github.com/pjsip/pjproject/blob/bba95b8a95c0a9e8c1939166fd20083ae9e3e956/pjsip/src/pjsip/sip_transaction.c#L2505</x:v>
      </x:c>
    </x:row>
    <x:row r="9">
      <x:c r="A9" s="11" t="str">
        <x:v>SIP-TX-05</x:v>
      </x:c>
      <x:c r="B9" s="11" t="str">
        <x:v>pjsip/pjproject</x:v>
      </x:c>
      <x:c r="C9" s="11" t="str">
        <x:v>bba95b8a95c0a9e8c1939166fd20083ae9e3e956</x:v>
      </x:c>
      <x:c r="D9" s="11" t="str">
        <x:v>pjsip/src/pjsip/sip_transaction.c</x:v>
      </x:c>
      <x:c r="E9" s="11" t="str">
        <x:v>tsx_on_state_calling</x:v>
      </x:c>
      <x:c r="F9" s="11" t="str">
        <x:v>2586-2623</x:v>
      </x:c>
      <x:c r="G9" s="11" t="str">
        <x:v>收到 1xx、取消 INVITE retransmit timer 后记录；事务投影在结束前封闭。</x:v>
      </x:c>
      <x:c r="H9" s="11" t="str">
        <x:v>HYBRID</x:v>
      </x:c>
      <x:c r="I9" s="11" t="str">
        <x:v>https://github.com/pjsip/pjproject/blob/bba95b8a95c0a9e8c1939166fd20083ae9e3e956/pjsip/src/pjsip/sip_transaction.c#L2586</x:v>
      </x:c>
    </x:row>
    <x:row r="10">
      <x:c r="A10" s="11" t="str">
        <x:v>SIP-TX-06</x:v>
      </x:c>
      <x:c r="B10" s="11" t="str">
        <x:v>pjsip/pjproject</x:v>
      </x:c>
      <x:c r="C10" s="11" t="str">
        <x:v>bba95b8a95c0a9e8c1939166fd20083ae9e3e956</x:v>
      </x:c>
      <x:c r="D10" s="11" t="str">
        <x:v>pjsip/src/pjsip/sip_transaction.c</x:v>
      </x:c>
      <x:c r="E10" s="11" t="str">
        <x:v>tsx_on_state_proceeding_uac</x:v>
      </x:c>
      <x:c r="F10" s="11" t="str">
        <x:v>3131-3196</x:v>
      </x:c>
      <x:c r="G10" s="11" t="str">
        <x:v>在 300--699 ACK 发送、Completed 进入和 Timer D 调度处记录。</x:v>
      </x:c>
      <x:c r="H10" s="11" t="str">
        <x:v>HYBRID</x:v>
      </x:c>
      <x:c r="I10" s="11" t="str">
        <x:v>https://github.com/pjsip/pjproject/blob/bba95b8a95c0a9e8c1939166fd20083ae9e3e956/pjsip/src/pjsip/sip_transaction.c#L3131</x:v>
      </x:c>
    </x:row>
    <x:row r="11">
      <x:c r="A11" s="11" t="str">
        <x:v>SIP-TX-07</x:v>
      </x:c>
      <x:c r="B11" s="11" t="str">
        <x:v>pjsip/pjproject</x:v>
      </x:c>
      <x:c r="C11" s="11" t="str">
        <x:v>bba95b8a95c0a9e8c1939166fd20083ae9e3e956</x:v>
      </x:c>
      <x:c r="D11" s="11" t="str">
        <x:v>pjsip/src/pjsip/sip_transaction.c</x:v>
      </x:c>
      <x:c r="E11" s="11" t="str">
        <x:v>tsx_on_state_null</x:v>
      </x:c>
      <x:c r="F11" s="11" t="str">
        <x:v>2514-2524</x:v>
      </x:c>
      <x:c r="G11" s="11" t="str">
        <x:v>按 CSeq method 区分 E 与 A，在 T1 调度后记录。</x:v>
      </x:c>
      <x:c r="H11" s="11" t="str">
        <x:v>HYBRID</x:v>
      </x:c>
      <x:c r="I11" s="11" t="str">
        <x:v>https://github.com/pjsip/pjproject/blob/bba95b8a95c0a9e8c1939166fd20083ae9e3e956/pjsip/src/pjsip/sip_transaction.c#L2514</x:v>
      </x:c>
    </x:row>
    <x:row r="12">
      <x:c r="A12" s="11" t="str">
        <x:v>SIP-TX-08</x:v>
      </x:c>
      <x:c r="B12" s="11" t="str">
        <x:v>pjsip/pjproject</x:v>
      </x:c>
      <x:c r="C12" s="11" t="str">
        <x:v>bba95b8a95c0a9e8c1939166fd20083ae9e3e956</x:v>
      </x:c>
      <x:c r="D12" s="11" t="str">
        <x:v>pjsip/src/pjsip/sip_transaction.c</x:v>
      </x:c>
      <x:c r="E12" s="11" t="str">
        <x:v>tsx_on_state_calling</x:v>
      </x:c>
      <x:c r="F12" s="11" t="str">
        <x:v>2546-2555</x:v>
      </x:c>
      <x:c r="G12" s="11" t="str">
        <x:v>Timer 回调与成功发送在同一 microstep 合并。</x:v>
      </x:c>
      <x:c r="H12" s="11" t="str">
        <x:v>WHITEBOX</x:v>
      </x:c>
      <x:c r="I12" s="11" t="str">
        <x:v>https://github.com/pjsip/pjproject/blob/bba95b8a95c0a9e8c1939166fd20083ae9e3e956/pjsip/src/pjsip/sip_transaction.c#L2546</x:v>
      </x:c>
    </x:row>
    <x:row r="13">
      <x:c r="A13" s="11" t="str">
        <x:v>SIP-TX-09</x:v>
      </x:c>
      <x:c r="B13" s="11" t="str">
        <x:v>pjsip/pjproject</x:v>
      </x:c>
      <x:c r="C13" s="11" t="str">
        <x:v>bba95b8a95c0a9e8c1939166fd20083ae9e3e956</x:v>
      </x:c>
      <x:c r="D13" s="11" t="str">
        <x:v>pjsip/src/pjsip/sip_transaction.c</x:v>
      </x:c>
      <x:c r="E13" s="11" t="str">
        <x:v>tsx_resched_retransmission</x:v>
      </x:c>
      <x:c r="F13" s="11" t="str">
        <x:v>2342-2354</x:v>
      </x:c>
      <x:c r="G13" s="11" t="str">
        <x:v>比较 old/new interval，derived AP 仅在 new=min(2*old,T2) 时为真。</x:v>
      </x:c>
      <x:c r="H13" s="11" t="str">
        <x:v>WHITEBOX</x:v>
      </x:c>
      <x:c r="I13" s="11" t="str">
        <x:v>https://github.com/pjsip/pjproject/blob/bba95b8a95c0a9e8c1939166fd20083ae9e3e956/pjsip/src/pjsip/sip_transaction.c#L2342</x:v>
      </x:c>
    </x:row>
    <x:row r="14">
      <x:c r="A14" s="11" t="str">
        <x:v>SIP-TX-10</x:v>
      </x:c>
      <x:c r="B14" s="11" t="str">
        <x:v>pjsip/pjproject</x:v>
      </x:c>
      <x:c r="C14" s="11" t="str">
        <x:v>bba95b8a95c0a9e8c1939166fd20083ae9e3e956</x:v>
      </x:c>
      <x:c r="D14" s="11" t="str">
        <x:v>pjsip/src/pjsip/sip_transaction.c</x:v>
      </x:c>
      <x:c r="E14" s="11" t="str">
        <x:v>tsx_on_state_calling</x:v>
      </x:c>
      <x:c r="F14" s="11" t="str">
        <x:v>2600-2623</x:v>
      </x:c>
      <x:c r="G14" s="11" t="str">
        <x:v>1xx 分支取消旧 retransmit timer 并以 t2_timer_val 重排后记录。</x:v>
      </x:c>
      <x:c r="H14" s="11" t="str">
        <x:v>HYBRID</x:v>
      </x:c>
      <x:c r="I14" s="11" t="str">
        <x:v>https://github.com/pjsip/pjproject/blob/bba95b8a95c0a9e8c1939166fd20083ae9e3e956/pjsip/src/pjsip/sip_transaction.c#L2600</x:v>
      </x:c>
    </x:row>
    <x:row r="15">
      <x:c r="A15" s="11" t="str">
        <x:v>SIP-TX-11</x:v>
      </x:c>
      <x:c r="B15" s="11" t="str">
        <x:v>pjsip/pjproject</x:v>
      </x:c>
      <x:c r="C15" s="11" t="str">
        <x:v>bba95b8a95c0a9e8c1939166fd20083ae9e3e956</x:v>
      </x:c>
      <x:c r="D15" s="11" t="str">
        <x:v>pjsip/src/pjsip/sip_transaction.c</x:v>
      </x:c>
      <x:c r="E15" s="11" t="str">
        <x:v>tsx_on_state_null/tsx_on_state_calling</x:v>
      </x:c>
      <x:c r="F15" s="11" t="str">
        <x:v>2505-2512;2557-2570</x:v>
      </x:c>
      <x:c r="G15" s="11" t="str">
        <x:v>按 method 将 timeout_timer 解释为 F；最终响应是替代完成事件。</x:v>
      </x:c>
      <x:c r="H15" s="11" t="str">
        <x:v>HYBRID</x:v>
      </x:c>
      <x:c r="I15" s="11" t="str">
        <x:v>https://github.com/pjsip/pjproject/blob/bba95b8a95c0a9e8c1939166fd20083ae9e3e956/pjsip/src/pjsip/sip_transaction.c#L2505</x:v>
      </x:c>
    </x:row>
    <x:row r="16">
      <x:c r="A16" s="11" t="str">
        <x:v>SIP-TX-12</x:v>
      </x:c>
      <x:c r="B16" s="11" t="str">
        <x:v>pjsip/pjproject</x:v>
      </x:c>
      <x:c r="C16" s="11" t="str">
        <x:v>bba95b8a95c0a9e8c1939166fd20083ae9e3e956</x:v>
      </x:c>
      <x:c r="D16" s="11" t="str">
        <x:v>pjsip/src/pjsip/sip_transaction.c</x:v>
      </x:c>
      <x:c r="E16" s="11" t="str">
        <x:v>tsx_on_state_proceeding_uac</x:v>
      </x:c>
      <x:c r="F16" s="11" t="str">
        <x:v>3037-3069</x:v>
      </x:c>
      <x:c r="G16" s="11" t="str">
        <x:v>在 Completed 状态调度 t4_timer_val 与 timeout 回调终止处记录。</x:v>
      </x:c>
      <x:c r="H16" s="11" t="str">
        <x:v>HYBRID</x:v>
      </x:c>
      <x:c r="I16" s="11" t="str">
        <x:v>https://github.com/pjsip/pjproject/blob/bba95b8a95c0a9e8c1939166fd20083ae9e3e956/pjsip/src/pjsip/sip_transaction.c#L3037</x:v>
      </x:c>
    </x:row>
    <x:row r="17">
      <x:c r="A17" s="11" t="str">
        <x:v>SIP-TX-13</x:v>
      </x:c>
      <x:c r="B17" s="11" t="str">
        <x:v>pjsip/pjproject</x:v>
      </x:c>
      <x:c r="C17" s="11" t="str">
        <x:v>bba95b8a95c0a9e8c1939166fd20083ae9e3e956</x:v>
      </x:c>
      <x:c r="D17" s="11" t="str">
        <x:v>pjsip/src/pjsip/sip_transaction.c</x:v>
      </x:c>
      <x:c r="E17" s="11" t="str">
        <x:v>tsx_on_state_proceeding_uas</x:v>
      </x:c>
      <x:c r="F17" s="11" t="str">
        <x:v>2865-2915</x:v>
      </x:c>
      <x:c r="G17" s="11" t="str">
        <x:v>在 300--699 发送、Completed 进入和 T1 retransmit timer 调度后记录。</x:v>
      </x:c>
      <x:c r="H17" s="11" t="str">
        <x:v>HYBRID</x:v>
      </x:c>
      <x:c r="I17" s="11" t="str">
        <x:v>https://github.com/pjsip/pjproject/blob/bba95b8a95c0a9e8c1939166fd20083ae9e3e956/pjsip/src/pjsip/sip_transaction.c#L2865</x:v>
      </x:c>
    </x:row>
    <x:row r="18">
      <x:c r="A18" s="11" t="str">
        <x:v>SIP-TX-14</x:v>
      </x:c>
      <x:c r="B18" s="11" t="str">
        <x:v>pjsip/pjproject</x:v>
      </x:c>
      <x:c r="C18" s="11" t="str">
        <x:v>bba95b8a95c0a9e8c1939166fd20083ae9e3e956</x:v>
      </x:c>
      <x:c r="D18" s="11" t="str">
        <x:v>pjsip/src/pjsip/sip_transaction.c</x:v>
      </x:c>
      <x:c r="E18" s="11" t="str">
        <x:v>tsx_on_state_proceeding_uas</x:v>
      </x:c>
      <x:c r="F18" s="11" t="str">
        <x:v>2928-2944</x:v>
      </x:c>
      <x:c r="G18" s="11" t="str">
        <x:v>Timer G 回调和 tsx_retransmit 成功发送合并为同一 microstep。</x:v>
      </x:c>
      <x:c r="H18" s="11" t="str">
        <x:v>WHITEBOX</x:v>
      </x:c>
      <x:c r="I18" s="11" t="str">
        <x:v>https://github.com/pjsip/pjproject/blob/bba95b8a95c0a9e8c1939166fd20083ae9e3e956/pjsip/src/pjsip/sip_transaction.c#L2928</x:v>
      </x:c>
    </x:row>
    <x:row r="19">
      <x:c r="A19" s="11" t="str">
        <x:v>SIP-TX-15</x:v>
      </x:c>
      <x:c r="B19" s="11" t="str">
        <x:v>pjsip/pjproject</x:v>
      </x:c>
      <x:c r="C19" s="11" t="str">
        <x:v>bba95b8a95c0a9e8c1939166fd20083ae9e3e956</x:v>
      </x:c>
      <x:c r="D19" s="11" t="str">
        <x:v>pjsip/src/pjsip/sip_transaction.c</x:v>
      </x:c>
      <x:c r="E19" s="11" t="str">
        <x:v>tsx_resched_retransmission</x:v>
      </x:c>
      <x:c r="F19" s="11" t="str">
        <x:v>2355-2367</x:v>
      </x:c>
      <x:c r="G19" s="11" t="str">
        <x:v>记录 UAS old/new interval；只有 new=min(2*old,T2) 时 derived AP 为真。</x:v>
      </x:c>
      <x:c r="H19" s="11" t="str">
        <x:v>WHITEBOX</x:v>
      </x:c>
      <x:c r="I19" s="11" t="str">
        <x:v>https://github.com/pjsip/pjproject/blob/bba95b8a95c0a9e8c1939166fd20083ae9e3e956/pjsip/src/pjsip/sip_transaction.c#L2355</x:v>
      </x:c>
    </x:row>
    <x:row r="20">
      <x:c r="A20" s="11" t="str">
        <x:v>SIP-TX-16</x:v>
      </x:c>
      <x:c r="B20" s="11" t="str">
        <x:v>pjsip/pjproject</x:v>
      </x:c>
      <x:c r="C20" s="11" t="str">
        <x:v>bba95b8a95c0a9e8c1939166fd20083ae9e3e956</x:v>
      </x:c>
      <x:c r="D20" s="11" t="str">
        <x:v>pjsip/src/pjsip/sip_transaction.c</x:v>
      </x:c>
      <x:c r="E20" s="11" t="str">
        <x:v>tsx_on_state_proceeding_uas/tsx_on_state_completed_uas</x:v>
      </x:c>
      <x:c r="F20" s="11" t="str">
        <x:v>2878-2888;3285-3295</x:v>
      </x:c>
      <x:c r="G20" s="11" t="str">
        <x:v>在 Completed 状态调度 timeout_timer_val 与回调处区分 H。</x:v>
      </x:c>
      <x:c r="H20" s="11" t="str">
        <x:v>HYBRID</x:v>
      </x:c>
      <x:c r="I20" s="11" t="str">
        <x:v>https://github.com/pjsip/pjproject/blob/bba95b8a95c0a9e8c1939166fd20083ae9e3e956/pjsip/src/pjsip/sip_transaction.c#L2878</x:v>
      </x:c>
    </x:row>
    <x:row r="21">
      <x:c r="A21" s="11" t="str">
        <x:v>SIP-TX-17</x:v>
      </x:c>
      <x:c r="B21" s="11" t="str">
        <x:v>pjsip/pjproject</x:v>
      </x:c>
      <x:c r="C21" s="11" t="str">
        <x:v>bba95b8a95c0a9e8c1939166fd20083ae9e3e956</x:v>
      </x:c>
      <x:c r="D21" s="11" t="str">
        <x:v>pjsip/src/pjsip/sip_transaction.c</x:v>
      </x:c>
      <x:c r="E21" s="11" t="str">
        <x:v>tsx_on_state_completed_uas</x:v>
      </x:c>
      <x:c r="F21" s="11" t="str">
        <x:v>3232-3271</x:v>
      </x:c>
      <x:c r="G21" s="11" t="str">
        <x:v>在 ACK 匹配、取消 retransmit timer、进入 Confirmed 后记录。</x:v>
      </x:c>
      <x:c r="H21" s="11" t="str">
        <x:v>HYBRID</x:v>
      </x:c>
      <x:c r="I21" s="11" t="str">
        <x:v>https://github.com/pjsip/pjproject/blob/bba95b8a95c0a9e8c1939166fd20083ae9e3e956/pjsip/src/pjsip/sip_transaction.c#L3232</x:v>
      </x:c>
    </x:row>
    <x:row r="22">
      <x:c r="A22" s="11" t="str">
        <x:v>SIP-TX-18</x:v>
      </x:c>
      <x:c r="B22" s="11" t="str">
        <x:v>pjsip/pjproject</x:v>
      </x:c>
      <x:c r="C22" s="11" t="str">
        <x:v>bba95b8a95c0a9e8c1939166fd20083ae9e3e956</x:v>
      </x:c>
      <x:c r="D22" s="11" t="str">
        <x:v>pjsip/src/pjsip/sip_transaction.c</x:v>
      </x:c>
      <x:c r="E22" s="11" t="str">
        <x:v>tsx_on_state_completed_uas/tsx_on_state_confirmed</x:v>
      </x:c>
      <x:c r="F22" s="11" t="str">
        <x:v>3251-3267;3399-3411</x:v>
      </x:c>
      <x:c r="G22" s="11" t="str">
        <x:v>在 Confirmed 进入、T4 调度和 timeout 回调终止处记录。</x:v>
      </x:c>
      <x:c r="H22" s="11" t="str">
        <x:v>HYBRID</x:v>
      </x:c>
      <x:c r="I22" s="11" t="str">
        <x:v>https://github.com/pjsip/pjproject/blob/bba95b8a95c0a9e8c1939166fd20083ae9e3e956/pjsip/src/pjsip/sip_transaction.c#L3251</x:v>
      </x:c>
    </x:row>
    <x:row r="23">
      <x:c r="A23" s="11" t="str">
        <x:v>SIP-TX-19</x:v>
      </x:c>
      <x:c r="B23" s="11" t="str">
        <x:v>pjsip/pjproject</x:v>
      </x:c>
      <x:c r="C23" s="11" t="str">
        <x:v>bba95b8a95c0a9e8c1939166fd20083ae9e3e956</x:v>
      </x:c>
      <x:c r="D23" s="11" t="str">
        <x:v>pjsip/src/pjsip/sip_transaction.c</x:v>
      </x:c>
      <x:c r="E23" s="11" t="str">
        <x:v>tsx_on_state_proceeding_uas/tsx_on_state_completed_uas</x:v>
      </x:c>
      <x:c r="F23" s="11" t="str">
        <x:v>2889-2897;3299-3303</x:v>
      </x:c>
      <x:c r="G23" s="11" t="str">
        <x:v>按 non-INVITE + UDP 区分 J，并在 timeout_timer 回调终止处记录。</x:v>
      </x:c>
      <x:c r="H23" s="11" t="str">
        <x:v>HYBRID</x:v>
      </x:c>
      <x:c r="I23" s="11" t="str">
        <x:v>https://github.com/pjsip/pjproject/blob/bba95b8a95c0a9e8c1939166fd20083ae9e3e956/pjsip/src/pjsip/sip_transaction.c#L2889</x:v>
      </x:c>
    </x:row>
    <x:row r="24">
      <x:c r="A24" s="11" t="str">
        <x:v>SIP-TX-20</x:v>
      </x:c>
      <x:c r="B24" s="11" t="str">
        <x:v>kamailio/kamailio</x:v>
      </x:c>
      <x:c r="C24" s="11" t="str">
        <x:v>2648eb330b133a20f1398d59a28c53532106cad3</x:v>
      </x:c>
      <x:c r="D24" s="11" t="str">
        <x:v>src/modules/tm/timer.h</x:v>
      </x:c>
      <x:c r="E24" s="11" t="str">
        <x:v>_set_fr_retr</x:v>
      </x:c>
      <x:c r="F24" s="11" t="str">
        <x:v>171-200</x:v>
      </x:c>
      <x:c r="G24" s="11" t="str">
        <x:v>在建立分支事务并写入 fr_expire/end_of_life 后记录；配置值同时进入事件字段（默认常数见 config.h:61--68）。</x:v>
      </x:c>
      <x:c r="H24" s="11" t="str">
        <x:v>HYBRID</x:v>
      </x:c>
      <x:c r="I24" s="11" t="str">
        <x:v>https://github.com/kamailio/kamailio/blob/2648eb330b133a20f1398d59a28c53532106cad3/src/modules/tm/timer.h#L171</x:v>
      </x:c>
    </x:row>
  </x:sheetData>
  <x:mergeCells>
    <x:mergeCell ref="A1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48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8" customHeight="1">
      <x:c r="A1" s="4" t="str">
        <x:v>MightyPPL / TAMonitor 机器验证</x:v>
      </x:c>
      <x:c r="B1" s="4" t="str">
        <x:v>MightyPPL / TAMonitor 机器验证</x:v>
      </x:c>
      <x:c r="C1" s="4" t="str">
        <x:v>MightyPPL / TAMonitor 机器验证</x:v>
      </x:c>
      <x:c r="D1" s="4" t="str">
        <x:v>MightyPPL / TAMonitor 机器验证</x:v>
      </x:c>
      <x:c r="E1" s="4" t="str">
        <x:v>MightyPPL / TAMonitor 机器验证</x:v>
      </x:c>
      <x:c r="F1" s="4" t="str">
        <x:v>MightyPPL / TAMonitor 机器验证</x:v>
      </x:c>
      <x:c r="G1" s="4" t="str">
        <x:v>MightyPPL / TAMonitor 机器验证</x:v>
      </x:c>
      <x:c r="H1" s="4" t="str">
        <x:v>MightyPPL / TAMonitor 机器验证</x:v>
      </x:c>
      <x:c r="I1" s="4" t="str">
        <x:v>MightyPPL / TAMonitor 机器验证</x:v>
      </x:c>
      <x:c r="J1" s="4" t="str">
        <x:v>MightyPPL / TAMonitor 机器验证</x:v>
      </x:c>
      <x:c r="K1" s="4" t="str">
        <x:v>MightyPPL / TAMonitor 机器验证</x:v>
      </x:c>
      <x:c r="L1" s="4" t="str">
        <x:v>MightyPPL / TAMonitor 机器验证</x:v>
      </x:c>
      <x:c r="M1" s="4" t="str">
        <x:v>MightyPPL / TAMonitor 机器验证</x:v>
      </x:c>
      <x:c r="N1" s="4" t="str">
        <x:v>MightyPPL / TAMonitor 机器验证</x:v>
      </x:c>
    </x:row>
    <x:row r="2" ht="28" customHeight="1">
      <x:c r="A2" s="4" t="str">
        <x:v>MightyPPL / TAMonitor 机器验证</x:v>
      </x:c>
      <x:c r="B2" s="4" t="str">
        <x:v>MightyPPL / TAMonitor 机器验证</x:v>
      </x:c>
      <x:c r="C2" s="4" t="str">
        <x:v>MightyPPL / TAMonitor 机器验证</x:v>
      </x:c>
      <x:c r="D2" s="4" t="str">
        <x:v>MightyPPL / TAMonitor 机器验证</x:v>
      </x:c>
      <x:c r="E2" s="4" t="str">
        <x:v>MightyPPL / TAMonitor 机器验证</x:v>
      </x:c>
      <x:c r="F2" s="4" t="str">
        <x:v>MightyPPL / TAMonitor 机器验证</x:v>
      </x:c>
      <x:c r="G2" s="4" t="str">
        <x:v>MightyPPL / TAMonitor 机器验证</x:v>
      </x:c>
      <x:c r="H2" s="4" t="str">
        <x:v>MightyPPL / TAMonitor 机器验证</x:v>
      </x:c>
      <x:c r="I2" s="4" t="str">
        <x:v>MightyPPL / TAMonitor 机器验证</x:v>
      </x:c>
      <x:c r="J2" s="4" t="str">
        <x:v>MightyPPL / TAMonitor 机器验证</x:v>
      </x:c>
      <x:c r="K2" s="4" t="str">
        <x:v>MightyPPL / TAMonitor 机器验证</x:v>
      </x:c>
      <x:c r="L2" s="4" t="str">
        <x:v>MightyPPL / TAMonitor 机器验证</x:v>
      </x:c>
      <x:c r="M2" s="4" t="str">
        <x:v>MightyPPL / TAMonitor 机器验证</x:v>
      </x:c>
      <x:c r="N2" s="4" t="str">
        <x:v>MightyPPL / TAMonitor 机器验证</x:v>
      </x:c>
    </x:row>
    <x:row r="4" ht="30" customHeight="1">
      <x:c r="A4" s="18" t="str">
        <x:v>ID</x:v>
      </x:c>
      <x:c r="B4" s="18" t="str">
        <x:v>Build</x:v>
      </x:c>
      <x:c r="C4" s="18" t="str">
        <x:v>+ symbolic</x:v>
      </x:c>
      <x:c r="D4" s="18" t="str">
        <x:v>- symbolic</x:v>
      </x:c>
      <x:c r="E4" s="18" t="str">
        <x:v>+ concrete</x:v>
      </x:c>
      <x:c r="F4" s="18" t="str">
        <x:v>- concrete</x:v>
      </x:c>
      <x:c r="G4" s="18" t="str">
        <x:v>Oracle</x:v>
      </x:c>
      <x:c r="H4" s="18" t="str">
        <x:v>S/C</x:v>
      </x:c>
      <x:c r="I4" s="18" t="str">
        <x:v>AP order</x:v>
      </x:c>
      <x:c r="J4" s="18" t="str">
        <x:v>+ loc</x:v>
      </x:c>
      <x:c r="K4" s="18" t="str">
        <x:v>+ edges</x:v>
      </x:c>
      <x:c r="L4" s="18" t="str">
        <x:v>- loc</x:v>
      </x:c>
      <x:c r="M4" s="18" t="str">
        <x:v>- edges</x:v>
      </x:c>
      <x:c r="N4" s="18" t="str">
        <x:v>Status</x:v>
      </x:c>
    </x:row>
    <x:row r="5">
      <x:c r="A5" s="11" t="str">
        <x:v>SIP-TX-01</x:v>
      </x:c>
      <x:c r="B5" s="11" t="str">
        <x:v>PASS</x:v>
      </x:c>
      <x:c r="C5" s="11" t="str">
        <x:v>POSITIVE</x:v>
      </x:c>
      <x:c r="D5" s="11" t="str">
        <x:v>NEGATIVE</x:v>
      </x:c>
      <x:c r="E5" s="11" t="str">
        <x:v>POSITIVE</x:v>
      </x:c>
      <x:c r="F5" s="11" t="str">
        <x:v>NEGATIVE</x:v>
      </x:c>
      <x:c r="G5" s="11" t="str">
        <x:v>PASS</x:v>
      </x:c>
      <x:c r="H5" s="11" t="str">
        <x:v>PASS</x:v>
      </x:c>
      <x:c r="I5" s="11" t="str">
        <x:v>udp_invite_sent, timer_a_fired, invite_transaction_stopped</x:v>
      </x:c>
      <x:c r="J5" s="11" t="n">
        <x:v>11</x:v>
      </x:c>
      <x:c r="K5" s="11" t="n">
        <x:v>164</x:v>
      </x:c>
      <x:c r="L5" s="11" t="n">
        <x:v>9</x:v>
      </x:c>
      <x:c r="M5" s="11" t="n">
        <x:v>142</x:v>
      </x:c>
      <x:c r="N5" s="11" t="str">
        <x:v>PASS</x:v>
      </x:c>
    </x:row>
    <x:row r="6">
      <x:c r="A6" s="11" t="str">
        <x:v>SIP-TX-02</x:v>
      </x:c>
      <x:c r="B6" s="11" t="str">
        <x:v>PASS</x:v>
      </x:c>
      <x:c r="C6" s="11" t="str">
        <x:v>POSITIVE</x:v>
      </x:c>
      <x:c r="D6" s="11" t="str">
        <x:v>NEGATIVE</x:v>
      </x:c>
      <x:c r="E6" s="11" t="str">
        <x:v>POSITIVE</x:v>
      </x:c>
      <x:c r="F6" s="11" t="str">
        <x:v>NEGATIVE</x:v>
      </x:c>
      <x:c r="G6" s="11" t="str">
        <x:v>PASS</x:v>
      </x:c>
      <x:c r="H6" s="11" t="str">
        <x:v>PASS</x:v>
      </x:c>
      <x:c r="I6" s="11" t="str">
        <x:v>udp_invite_sent, invite_retransmitted, invite_transaction_stopped</x:v>
      </x:c>
      <x:c r="J6" s="11" t="n">
        <x:v>11</x:v>
      </x:c>
      <x:c r="K6" s="11" t="n">
        <x:v>164</x:v>
      </x:c>
      <x:c r="L6" s="11" t="n">
        <x:v>9</x:v>
      </x:c>
      <x:c r="M6" s="11" t="n">
        <x:v>142</x:v>
      </x:c>
      <x:c r="N6" s="11" t="str">
        <x:v>PASS</x:v>
      </x:c>
    </x:row>
    <x:row r="7">
      <x:c r="A7" s="11" t="str">
        <x:v>SIP-TX-03</x:v>
      </x:c>
      <x:c r="B7" s="11" t="str">
        <x:v>PASS</x:v>
      </x:c>
      <x:c r="C7" s="11" t="str">
        <x:v>POSITIVE</x:v>
      </x:c>
      <x:c r="D7" s="11" t="str">
        <x:v>NEGATIVE</x:v>
      </x:c>
      <x:c r="E7" s="11" t="str">
        <x:v>POSITIVE</x:v>
      </x:c>
      <x:c r="F7" s="11" t="str">
        <x:v>NEGATIVE</x:v>
      </x:c>
      <x:c r="G7" s="11" t="str">
        <x:v>PASS</x:v>
      </x:c>
      <x:c r="H7" s="11" t="str">
        <x:v>PASS</x:v>
      </x:c>
      <x:c r="I7" s="11" t="str">
        <x:v>timer_a_first_cycle_completed, invite_retransmitted, invite_transaction_stopped</x:v>
      </x:c>
      <x:c r="J7" s="11" t="n">
        <x:v>11</x:v>
      </x:c>
      <x:c r="K7" s="11" t="n">
        <x:v>164</x:v>
      </x:c>
      <x:c r="L7" s="11" t="n">
        <x:v>9</x:v>
      </x:c>
      <x:c r="M7" s="11" t="n">
        <x:v>142</x:v>
      </x:c>
      <x:c r="N7" s="11" t="str">
        <x:v>PASS</x:v>
      </x:c>
    </x:row>
    <x:row r="8">
      <x:c r="A8" s="11" t="str">
        <x:v>SIP-TX-04</x:v>
      </x:c>
      <x:c r="B8" s="11" t="str">
        <x:v>PASS</x:v>
      </x:c>
      <x:c r="C8" s="11" t="str">
        <x:v>POSITIVE</x:v>
      </x:c>
      <x:c r="D8" s="11" t="str">
        <x:v>NEGATIVE</x:v>
      </x:c>
      <x:c r="E8" s="11" t="str">
        <x:v>POSITIVE</x:v>
      </x:c>
      <x:c r="F8" s="11" t="str">
        <x:v>NEGATIVE</x:v>
      </x:c>
      <x:c r="G8" s="11" t="str">
        <x:v>PASS</x:v>
      </x:c>
      <x:c r="H8" s="11" t="str">
        <x:v>PASS</x:v>
      </x:c>
      <x:c r="I8" s="11" t="str">
        <x:v>invite_client_calling_entered, timer_b_fired, invite_final_response_received</x:v>
      </x:c>
      <x:c r="J8" s="11" t="n">
        <x:v>11</x:v>
      </x:c>
      <x:c r="K8" s="11" t="n">
        <x:v>164</x:v>
      </x:c>
      <x:c r="L8" s="11" t="n">
        <x:v>9</x:v>
      </x:c>
      <x:c r="M8" s="11" t="n">
        <x:v>142</x:v>
      </x:c>
      <x:c r="N8" s="11" t="str">
        <x:v>PASS</x:v>
      </x:c>
    </x:row>
    <x:row r="9">
      <x:c r="A9" s="11" t="str">
        <x:v>SIP-TX-05</x:v>
      </x:c>
      <x:c r="B9" s="11" t="str">
        <x:v>PASS</x:v>
      </x:c>
      <x:c r="C9" s="11" t="str">
        <x:v>POSITIVE</x:v>
      </x:c>
      <x:c r="D9" s="11" t="str">
        <x:v>NEGATIVE</x:v>
      </x:c>
      <x:c r="E9" s="11" t="str">
        <x:v>POSITIVE</x:v>
      </x:c>
      <x:c r="F9" s="11" t="str">
        <x:v>NEGATIVE</x:v>
      </x:c>
      <x:c r="G9" s="11" t="str">
        <x:v>PASS</x:v>
      </x:c>
      <x:c r="H9" s="11" t="str">
        <x:v>PASS</x:v>
      </x:c>
      <x:c r="I9" s="11" t="str">
        <x:v>invite_provisional_received, invite_retransmitted</x:v>
      </x:c>
      <x:c r="J9" s="11" t="n">
        <x:v>5</x:v>
      </x:c>
      <x:c r="K9" s="11" t="n">
        <x:v>18</x:v>
      </x:c>
      <x:c r="L9" s="11" t="n">
        <x:v>7</x:v>
      </x:c>
      <x:c r="M9" s="11" t="n">
        <x:v>48</x:v>
      </x:c>
      <x:c r="N9" s="11" t="str">
        <x:v>PASS</x:v>
      </x:c>
    </x:row>
    <x:row r="10">
      <x:c r="A10" s="11" t="str">
        <x:v>SIP-TX-06</x:v>
      </x:c>
      <x:c r="B10" s="11" t="str">
        <x:v>PASS</x:v>
      </x:c>
      <x:c r="C10" s="11" t="str">
        <x:v>POSITIVE</x:v>
      </x:c>
      <x:c r="D10" s="11" t="str">
        <x:v>NEGATIVE</x:v>
      </x:c>
      <x:c r="E10" s="11" t="str">
        <x:v>POSITIVE</x:v>
      </x:c>
      <x:c r="F10" s="11" t="str">
        <x:v>NEGATIVE</x:v>
      </x:c>
      <x:c r="G10" s="11" t="str">
        <x:v>PASS</x:v>
      </x:c>
      <x:c r="H10" s="11" t="str">
        <x:v>PASS</x:v>
      </x:c>
      <x:c r="I10" s="11" t="str">
        <x:v>udp_invite_client_completed, transaction_terminated</x:v>
      </x:c>
      <x:c r="J10" s="11" t="n">
        <x:v>5</x:v>
      </x:c>
      <x:c r="K10" s="11" t="n">
        <x:v>34</x:v>
      </x:c>
      <x:c r="L10" s="11" t="n">
        <x:v>7</x:v>
      </x:c>
      <x:c r="M10" s="11" t="n">
        <x:v>48</x:v>
      </x:c>
      <x:c r="N10" s="11" t="str">
        <x:v>PASS</x:v>
      </x:c>
    </x:row>
    <x:row r="11">
      <x:c r="A11" s="11" t="str">
        <x:v>SIP-TX-07</x:v>
      </x:c>
      <x:c r="B11" s="11" t="str">
        <x:v>PASS</x:v>
      </x:c>
      <x:c r="C11" s="11" t="str">
        <x:v>POSITIVE</x:v>
      </x:c>
      <x:c r="D11" s="11" t="str">
        <x:v>NEGATIVE</x:v>
      </x:c>
      <x:c r="E11" s="11" t="str">
        <x:v>POSITIVE</x:v>
      </x:c>
      <x:c r="F11" s="11" t="str">
        <x:v>NEGATIVE</x:v>
      </x:c>
      <x:c r="G11" s="11" t="str">
        <x:v>PASS</x:v>
      </x:c>
      <x:c r="H11" s="11" t="str">
        <x:v>PASS</x:v>
      </x:c>
      <x:c r="I11" s="11" t="str">
        <x:v>udp_noninvite_sent, timer_e_fired, noninvite_final_response_received</x:v>
      </x:c>
      <x:c r="J11" s="11" t="n">
        <x:v>11</x:v>
      </x:c>
      <x:c r="K11" s="11" t="n">
        <x:v>164</x:v>
      </x:c>
      <x:c r="L11" s="11" t="n">
        <x:v>9</x:v>
      </x:c>
      <x:c r="M11" s="11" t="n">
        <x:v>142</x:v>
      </x:c>
      <x:c r="N11" s="11" t="str">
        <x:v>PASS</x:v>
      </x:c>
    </x:row>
    <x:row r="12">
      <x:c r="A12" s="11" t="str">
        <x:v>SIP-TX-08</x:v>
      </x:c>
      <x:c r="B12" s="11" t="str">
        <x:v>PASS</x:v>
      </x:c>
      <x:c r="C12" s="11" t="str">
        <x:v>POSITIVE</x:v>
      </x:c>
      <x:c r="D12" s="11" t="str">
        <x:v>NEGATIVE</x:v>
      </x:c>
      <x:c r="E12" s="11" t="str">
        <x:v>POSITIVE</x:v>
      </x:c>
      <x:c r="F12" s="11" t="str">
        <x:v>NEGATIVE</x:v>
      </x:c>
      <x:c r="G12" s="11" t="str">
        <x:v>PASS</x:v>
      </x:c>
      <x:c r="H12" s="11" t="str">
        <x:v>PASS</x:v>
      </x:c>
      <x:c r="I12" s="11" t="str">
        <x:v>udp_noninvite_sent, noninvite_retransmitted, noninvite_final_response_received</x:v>
      </x:c>
      <x:c r="J12" s="11" t="n">
        <x:v>11</x:v>
      </x:c>
      <x:c r="K12" s="11" t="n">
        <x:v>164</x:v>
      </x:c>
      <x:c r="L12" s="11" t="n">
        <x:v>9</x:v>
      </x:c>
      <x:c r="M12" s="11" t="n">
        <x:v>142</x:v>
      </x:c>
      <x:c r="N12" s="11" t="str">
        <x:v>PASS</x:v>
      </x:c>
    </x:row>
    <x:row r="13">
      <x:c r="A13" s="11" t="str">
        <x:v>SIP-TX-09</x:v>
      </x:c>
      <x:c r="B13" s="11" t="str">
        <x:v>PASS</x:v>
      </x:c>
      <x:c r="C13" s="11" t="str">
        <x:v>POSITIVE</x:v>
      </x:c>
      <x:c r="D13" s="11" t="str">
        <x:v>NEGATIVE</x:v>
      </x:c>
      <x:c r="E13" s="11" t="str">
        <x:v>POSITIVE</x:v>
      </x:c>
      <x:c r="F13" s="11" t="str">
        <x:v>NEGATIVE</x:v>
      </x:c>
      <x:c r="G13" s="11" t="str">
        <x:v>PASS</x:v>
      </x:c>
      <x:c r="H13" s="11" t="str">
        <x:v>PASS</x:v>
      </x:c>
      <x:c r="I13" s="11" t="str">
        <x:v>timer_e_first_cycle_completed, noninvite_retransmitted, noninvite_final_response_received</x:v>
      </x:c>
      <x:c r="J13" s="11" t="n">
        <x:v>11</x:v>
      </x:c>
      <x:c r="K13" s="11" t="n">
        <x:v>164</x:v>
      </x:c>
      <x:c r="L13" s="11" t="n">
        <x:v>9</x:v>
      </x:c>
      <x:c r="M13" s="11" t="n">
        <x:v>142</x:v>
      </x:c>
      <x:c r="N13" s="11" t="str">
        <x:v>PASS</x:v>
      </x:c>
    </x:row>
    <x:row r="14">
      <x:c r="A14" s="11" t="str">
        <x:v>SIP-TX-10</x:v>
      </x:c>
      <x:c r="B14" s="11" t="str">
        <x:v>PASS</x:v>
      </x:c>
      <x:c r="C14" s="11" t="str">
        <x:v>POSITIVE</x:v>
      </x:c>
      <x:c r="D14" s="11" t="str">
        <x:v>NEGATIVE</x:v>
      </x:c>
      <x:c r="E14" s="11" t="str">
        <x:v>POSITIVE</x:v>
      </x:c>
      <x:c r="F14" s="11" t="str">
        <x:v>NEGATIVE</x:v>
      </x:c>
      <x:c r="G14" s="11" t="str">
        <x:v>PASS</x:v>
      </x:c>
      <x:c r="H14" s="11" t="str">
        <x:v>PASS</x:v>
      </x:c>
      <x:c r="I14" s="11" t="str">
        <x:v>noninvite_provisional_received, timer_e_fired, noninvite_final_response_received</x:v>
      </x:c>
      <x:c r="J14" s="11" t="n">
        <x:v>11</x:v>
      </x:c>
      <x:c r="K14" s="11" t="n">
        <x:v>164</x:v>
      </x:c>
      <x:c r="L14" s="11" t="n">
        <x:v>9</x:v>
      </x:c>
      <x:c r="M14" s="11" t="n">
        <x:v>142</x:v>
      </x:c>
      <x:c r="N14" s="11" t="str">
        <x:v>PASS</x:v>
      </x:c>
    </x:row>
    <x:row r="15">
      <x:c r="A15" s="11" t="str">
        <x:v>SIP-TX-11</x:v>
      </x:c>
      <x:c r="B15" s="11" t="str">
        <x:v>PASS</x:v>
      </x:c>
      <x:c r="C15" s="11" t="str">
        <x:v>POSITIVE</x:v>
      </x:c>
      <x:c r="D15" s="11" t="str">
        <x:v>NEGATIVE</x:v>
      </x:c>
      <x:c r="E15" s="11" t="str">
        <x:v>POSITIVE</x:v>
      </x:c>
      <x:c r="F15" s="11" t="str">
        <x:v>NEGATIVE</x:v>
      </x:c>
      <x:c r="G15" s="11" t="str">
        <x:v>PASS</x:v>
      </x:c>
      <x:c r="H15" s="11" t="str">
        <x:v>PASS</x:v>
      </x:c>
      <x:c r="I15" s="11" t="str">
        <x:v>noninvite_trying_entered, timer_f_fired, noninvite_final_response_received</x:v>
      </x:c>
      <x:c r="J15" s="11" t="n">
        <x:v>11</x:v>
      </x:c>
      <x:c r="K15" s="11" t="n">
        <x:v>164</x:v>
      </x:c>
      <x:c r="L15" s="11" t="n">
        <x:v>9</x:v>
      </x:c>
      <x:c r="M15" s="11" t="n">
        <x:v>142</x:v>
      </x:c>
      <x:c r="N15" s="11" t="str">
        <x:v>PASS</x:v>
      </x:c>
    </x:row>
    <x:row r="16">
      <x:c r="A16" s="11" t="str">
        <x:v>SIP-TX-12</x:v>
      </x:c>
      <x:c r="B16" s="11" t="str">
        <x:v>PASS</x:v>
      </x:c>
      <x:c r="C16" s="11" t="str">
        <x:v>POSITIVE</x:v>
      </x:c>
      <x:c r="D16" s="11" t="str">
        <x:v>NEGATIVE</x:v>
      </x:c>
      <x:c r="E16" s="11" t="str">
        <x:v>POSITIVE</x:v>
      </x:c>
      <x:c r="F16" s="11" t="str">
        <x:v>NEGATIVE</x:v>
      </x:c>
      <x:c r="G16" s="11" t="str">
        <x:v>PASS</x:v>
      </x:c>
      <x:c r="H16" s="11" t="str">
        <x:v>PASS</x:v>
      </x:c>
      <x:c r="I16" s="11" t="str">
        <x:v>udp_noninvite_client_completed, transaction_terminated</x:v>
      </x:c>
      <x:c r="J16" s="11" t="n">
        <x:v>9</x:v>
      </x:c>
      <x:c r="K16" s="11" t="n">
        <x:v>64</x:v>
      </x:c>
      <x:c r="L16" s="11" t="n">
        <x:v>9</x:v>
      </x:c>
      <x:c r="M16" s="11" t="n">
        <x:v>74</x:v>
      </x:c>
      <x:c r="N16" s="11" t="str">
        <x:v>PASS</x:v>
      </x:c>
    </x:row>
    <x:row r="17">
      <x:c r="A17" s="11" t="str">
        <x:v>SIP-TX-13</x:v>
      </x:c>
      <x:c r="B17" s="11" t="str">
        <x:v>PASS</x:v>
      </x:c>
      <x:c r="C17" s="11" t="str">
        <x:v>POSITIVE</x:v>
      </x:c>
      <x:c r="D17" s="11" t="str">
        <x:v>NEGATIVE</x:v>
      </x:c>
      <x:c r="E17" s="11" t="str">
        <x:v>POSITIVE</x:v>
      </x:c>
      <x:c r="F17" s="11" t="str">
        <x:v>NEGATIVE</x:v>
      </x:c>
      <x:c r="G17" s="11" t="str">
        <x:v>PASS</x:v>
      </x:c>
      <x:c r="H17" s="11" t="str">
        <x:v>PASS</x:v>
      </x:c>
      <x:c r="I17" s="11" t="str">
        <x:v>udp_invite_server_completed, timer_g_fired, ack_received</x:v>
      </x:c>
      <x:c r="J17" s="11" t="n">
        <x:v>11</x:v>
      </x:c>
      <x:c r="K17" s="11" t="n">
        <x:v>164</x:v>
      </x:c>
      <x:c r="L17" s="11" t="n">
        <x:v>9</x:v>
      </x:c>
      <x:c r="M17" s="11" t="n">
        <x:v>142</x:v>
      </x:c>
      <x:c r="N17" s="11" t="str">
        <x:v>PASS</x:v>
      </x:c>
    </x:row>
    <x:row r="18">
      <x:c r="A18" s="11" t="str">
        <x:v>SIP-TX-14</x:v>
      </x:c>
      <x:c r="B18" s="11" t="str">
        <x:v>PASS</x:v>
      </x:c>
      <x:c r="C18" s="11" t="str">
        <x:v>POSITIVE</x:v>
      </x:c>
      <x:c r="D18" s="11" t="str">
        <x:v>NEGATIVE</x:v>
      </x:c>
      <x:c r="E18" s="11" t="str">
        <x:v>POSITIVE</x:v>
      </x:c>
      <x:c r="F18" s="11" t="str">
        <x:v>NEGATIVE</x:v>
      </x:c>
      <x:c r="G18" s="11" t="str">
        <x:v>PASS</x:v>
      </x:c>
      <x:c r="H18" s="11" t="str">
        <x:v>PASS</x:v>
      </x:c>
      <x:c r="I18" s="11" t="str">
        <x:v>udp_invite_server_completed, final_response_retransmitted, ack_received</x:v>
      </x:c>
      <x:c r="J18" s="11" t="n">
        <x:v>11</x:v>
      </x:c>
      <x:c r="K18" s="11" t="n">
        <x:v>164</x:v>
      </x:c>
      <x:c r="L18" s="11" t="n">
        <x:v>9</x:v>
      </x:c>
      <x:c r="M18" s="11" t="n">
        <x:v>142</x:v>
      </x:c>
      <x:c r="N18" s="11" t="str">
        <x:v>PASS</x:v>
      </x:c>
    </x:row>
    <x:row r="19">
      <x:c r="A19" s="11" t="str">
        <x:v>SIP-TX-15</x:v>
      </x:c>
      <x:c r="B19" s="11" t="str">
        <x:v>PASS</x:v>
      </x:c>
      <x:c r="C19" s="11" t="str">
        <x:v>POSITIVE</x:v>
      </x:c>
      <x:c r="D19" s="11" t="str">
        <x:v>NEGATIVE</x:v>
      </x:c>
      <x:c r="E19" s="11" t="str">
        <x:v>POSITIVE</x:v>
      </x:c>
      <x:c r="F19" s="11" t="str">
        <x:v>NEGATIVE</x:v>
      </x:c>
      <x:c r="G19" s="11" t="str">
        <x:v>PASS</x:v>
      </x:c>
      <x:c r="H19" s="11" t="str">
        <x:v>PASS</x:v>
      </x:c>
      <x:c r="I19" s="11" t="str">
        <x:v>timer_g_first_cycle_completed, final_response_retransmitted, ack_received</x:v>
      </x:c>
      <x:c r="J19" s="11" t="n">
        <x:v>11</x:v>
      </x:c>
      <x:c r="K19" s="11" t="n">
        <x:v>164</x:v>
      </x:c>
      <x:c r="L19" s="11" t="n">
        <x:v>9</x:v>
      </x:c>
      <x:c r="M19" s="11" t="n">
        <x:v>142</x:v>
      </x:c>
      <x:c r="N19" s="11" t="str">
        <x:v>PASS</x:v>
      </x:c>
    </x:row>
    <x:row r="20">
      <x:c r="A20" s="11" t="str">
        <x:v>SIP-TX-16</x:v>
      </x:c>
      <x:c r="B20" s="11" t="str">
        <x:v>PASS</x:v>
      </x:c>
      <x:c r="C20" s="11" t="str">
        <x:v>POSITIVE</x:v>
      </x:c>
      <x:c r="D20" s="11" t="str">
        <x:v>NEGATIVE</x:v>
      </x:c>
      <x:c r="E20" s="11" t="str">
        <x:v>POSITIVE</x:v>
      </x:c>
      <x:c r="F20" s="11" t="str">
        <x:v>NEGATIVE</x:v>
      </x:c>
      <x:c r="G20" s="11" t="str">
        <x:v>PASS</x:v>
      </x:c>
      <x:c r="H20" s="11" t="str">
        <x:v>PASS</x:v>
      </x:c>
      <x:c r="I20" s="11" t="str">
        <x:v>invite_server_completed, timer_h_fired, ack_received</x:v>
      </x:c>
      <x:c r="J20" s="11" t="n">
        <x:v>11</x:v>
      </x:c>
      <x:c r="K20" s="11" t="n">
        <x:v>164</x:v>
      </x:c>
      <x:c r="L20" s="11" t="n">
        <x:v>9</x:v>
      </x:c>
      <x:c r="M20" s="11" t="n">
        <x:v>142</x:v>
      </x:c>
      <x:c r="N20" s="11" t="str">
        <x:v>PASS</x:v>
      </x:c>
    </x:row>
    <x:row r="21">
      <x:c r="A21" s="11" t="str">
        <x:v>SIP-TX-17</x:v>
      </x:c>
      <x:c r="B21" s="11" t="str">
        <x:v>PASS</x:v>
      </x:c>
      <x:c r="C21" s="11" t="str">
        <x:v>POSITIVE</x:v>
      </x:c>
      <x:c r="D21" s="11" t="str">
        <x:v>NEGATIVE</x:v>
      </x:c>
      <x:c r="E21" s="11" t="str">
        <x:v>POSITIVE</x:v>
      </x:c>
      <x:c r="F21" s="11" t="str">
        <x:v>NEGATIVE</x:v>
      </x:c>
      <x:c r="G21" s="11" t="str">
        <x:v>PASS</x:v>
      </x:c>
      <x:c r="H21" s="11" t="str">
        <x:v>PASS</x:v>
      </x:c>
      <x:c r="I21" s="11" t="str">
        <x:v>ack_received, final_response_retransmitted</x:v>
      </x:c>
      <x:c r="J21" s="11" t="n">
        <x:v>5</x:v>
      </x:c>
      <x:c r="K21" s="11" t="n">
        <x:v>18</x:v>
      </x:c>
      <x:c r="L21" s="11" t="n">
        <x:v>7</x:v>
      </x:c>
      <x:c r="M21" s="11" t="n">
        <x:v>48</x:v>
      </x:c>
      <x:c r="N21" s="11" t="str">
        <x:v>PASS</x:v>
      </x:c>
    </x:row>
    <x:row r="22">
      <x:c r="A22" s="11" t="str">
        <x:v>SIP-TX-18</x:v>
      </x:c>
      <x:c r="B22" s="11" t="str">
        <x:v>PASS</x:v>
      </x:c>
      <x:c r="C22" s="11" t="str">
        <x:v>POSITIVE</x:v>
      </x:c>
      <x:c r="D22" s="11" t="str">
        <x:v>NEGATIVE</x:v>
      </x:c>
      <x:c r="E22" s="11" t="str">
        <x:v>POSITIVE</x:v>
      </x:c>
      <x:c r="F22" s="11" t="str">
        <x:v>NEGATIVE</x:v>
      </x:c>
      <x:c r="G22" s="11" t="str">
        <x:v>PASS</x:v>
      </x:c>
      <x:c r="H22" s="11" t="str">
        <x:v>PASS</x:v>
      </x:c>
      <x:c r="I22" s="11" t="str">
        <x:v>udp_invite_server_confirmed, transaction_terminated</x:v>
      </x:c>
      <x:c r="J22" s="11" t="n">
        <x:v>9</x:v>
      </x:c>
      <x:c r="K22" s="11" t="n">
        <x:v>64</x:v>
      </x:c>
      <x:c r="L22" s="11" t="n">
        <x:v>9</x:v>
      </x:c>
      <x:c r="M22" s="11" t="n">
        <x:v>74</x:v>
      </x:c>
      <x:c r="N22" s="11" t="str">
        <x:v>PASS</x:v>
      </x:c>
    </x:row>
    <x:row r="23">
      <x:c r="A23" s="11" t="str">
        <x:v>SIP-TX-19</x:v>
      </x:c>
      <x:c r="B23" s="11" t="str">
        <x:v>PASS</x:v>
      </x:c>
      <x:c r="C23" s="11" t="str">
        <x:v>POSITIVE</x:v>
      </x:c>
      <x:c r="D23" s="11" t="str">
        <x:v>NEGATIVE</x:v>
      </x:c>
      <x:c r="E23" s="11" t="str">
        <x:v>POSITIVE</x:v>
      </x:c>
      <x:c r="F23" s="11" t="str">
        <x:v>NEGATIVE</x:v>
      </x:c>
      <x:c r="G23" s="11" t="str">
        <x:v>PASS</x:v>
      </x:c>
      <x:c r="H23" s="11" t="str">
        <x:v>PASS</x:v>
      </x:c>
      <x:c r="I23" s="11" t="str">
        <x:v>udp_noninvite_server_completed, transaction_terminated</x:v>
      </x:c>
      <x:c r="J23" s="11" t="n">
        <x:v>9</x:v>
      </x:c>
      <x:c r="K23" s="11" t="n">
        <x:v>64</x:v>
      </x:c>
      <x:c r="L23" s="11" t="n">
        <x:v>9</x:v>
      </x:c>
      <x:c r="M23" s="11" t="n">
        <x:v>74</x:v>
      </x:c>
      <x:c r="N23" s="11" t="str">
        <x:v>PASS</x:v>
      </x:c>
    </x:row>
    <x:row r="24">
      <x:c r="A24" s="11" t="str">
        <x:v>SIP-TX-20</x:v>
      </x:c>
      <x:c r="B24" s="11" t="str">
        <x:v>PASS</x:v>
      </x:c>
      <x:c r="C24" s="11" t="str">
        <x:v>POSITIVE</x:v>
      </x:c>
      <x:c r="D24" s="11" t="str">
        <x:v>NEGATIVE</x:v>
      </x:c>
      <x:c r="E24" s="11" t="str">
        <x:v>POSITIVE</x:v>
      </x:c>
      <x:c r="F24" s="11" t="str">
        <x:v>NEGATIVE</x:v>
      </x:c>
      <x:c r="G24" s="11" t="str">
        <x:v>PASS</x:v>
      </x:c>
      <x:c r="H24" s="11" t="str">
        <x:v>PASS</x:v>
      </x:c>
      <x:c r="I24" s="11" t="str">
        <x:v>proxy_invite_forwarded, timer_c_fired</x:v>
      </x:c>
      <x:c r="J24" s="11" t="n">
        <x:v>5</x:v>
      </x:c>
      <x:c r="K24" s="11" t="n">
        <x:v>34</x:v>
      </x:c>
      <x:c r="L24" s="11" t="n">
        <x:v>7</x:v>
      </x:c>
      <x:c r="M24" s="11" t="n">
        <x:v>48</x:v>
      </x:c>
      <x:c r="N24" s="11" t="str">
        <x:v>PASS</x:v>
      </x:c>
    </x:row>
  </x:sheetData>
  <x:mergeCells>
    <x:mergeCell ref="A1:N2"/>
  </x:mergeCells>
  <x:conditionalFormatting sqref="B5:N24">
    <x:cfRule type="containsText" dxfId="1" priority="1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44" hidden="0" customWidth="1"/>
    <x:col min="4" max="4" width="24" hidden="0" customWidth="1"/>
    <x:col min="5" max="5" width="24" hidden="0" customWidth="1"/>
    <x:col min="6" max="6" width="40" hidden="0" customWidth="1"/>
    <x:col min="7" max="7" width="20" hidden="0" customWidth="1"/>
    <x:col min="8" max="8" width="52" hidden="0" customWidth="1"/>
  </x:cols>
  <x:sheetData>
    <x:row r="1" ht="28" customHeight="1">
      <x:c r="A1" s="4" t="str">
        <x:v>CCFA 类 baseline 与适配成熟度</x:v>
      </x:c>
      <x:c r="B1" s="4" t="str">
        <x:v>CCFA 类 baseline 与适配成熟度</x:v>
      </x:c>
      <x:c r="C1" s="4" t="str">
        <x:v>CCFA 类 baseline 与适配成熟度</x:v>
      </x:c>
      <x:c r="D1" s="4" t="str">
        <x:v>CCFA 类 baseline 与适配成熟度</x:v>
      </x:c>
      <x:c r="E1" s="4" t="str">
        <x:v>CCFA 类 baseline 与适配成熟度</x:v>
      </x:c>
      <x:c r="F1" s="4" t="str">
        <x:v>CCFA 类 baseline 与适配成熟度</x:v>
      </x:c>
      <x:c r="G1" s="4" t="str">
        <x:v>CCFA 类 baseline 与适配成熟度</x:v>
      </x:c>
      <x:c r="H1" s="4" t="str">
        <x:v>CCFA 类 baseline 与适配成熟度</x:v>
      </x:c>
    </x:row>
    <x:row r="2" ht="28" customHeight="1">
      <x:c r="A2" s="4" t="str">
        <x:v>CCFA 类 baseline 与适配成熟度</x:v>
      </x:c>
      <x:c r="B2" s="4" t="str">
        <x:v>CCFA 类 baseline 与适配成熟度</x:v>
      </x:c>
      <x:c r="C2" s="4" t="str">
        <x:v>CCFA 类 baseline 与适配成熟度</x:v>
      </x:c>
      <x:c r="D2" s="4" t="str">
        <x:v>CCFA 类 baseline 与适配成熟度</x:v>
      </x:c>
      <x:c r="E2" s="4" t="str">
        <x:v>CCFA 类 baseline 与适配成熟度</x:v>
      </x:c>
      <x:c r="F2" s="4" t="str">
        <x:v>CCFA 类 baseline 与适配成熟度</x:v>
      </x:c>
      <x:c r="G2" s="4" t="str">
        <x:v>CCFA 类 baseline 与适配成熟度</x:v>
      </x:c>
      <x:c r="H2" s="4" t="str">
        <x:v>CCFA 类 baseline 与适配成熟度</x:v>
      </x:c>
    </x:row>
    <x:row r="4" ht="30" customHeight="1">
      <x:c r="A4" s="18" t="str">
        <x:v>baseline</x:v>
      </x:c>
      <x:c r="B4" s="18" t="str">
        <x:v>source</x:v>
      </x:c>
      <x:c r="C4" s="18" t="str">
        <x:v>version</x:v>
      </x:c>
      <x:c r="D4" s="18" t="str">
        <x:v>kamailio_compatibility</x:v>
      </x:c>
      <x:c r="E4" s="18" t="str">
        <x:v>sut</x:v>
      </x:c>
      <x:c r="F4" s="18" t="str">
        <x:v>adapter</x:v>
      </x:c>
      <x:c r="G4" s="18" t="str">
        <x:v>license</x:v>
      </x:c>
      <x:c r="H4" s="18" t="str">
        <x:v>budget_evidence</x:v>
      </x:c>
    </x:row>
    <x:row r="5">
      <x:c r="A5" s="11" t="str">
        <x:v>AFLnwe</x:v>
      </x:c>
      <x:c r="B5" s="11" t="str">
        <x:v>ProFuzzBench</x:v>
      </x:c>
      <x:c r="C5" s="11" t="str">
        <x:v>8573ec81d68f2c1ffc8f5e605dfdd9c61fbeb074</x:v>
      </x:c>
      <x:c r="D5" s="11" t="str">
        <x:v>DIRECT</x:v>
      </x:c>
      <x:c r="E5" s="11" t="str">
        <x:v>Kamailio</x:v>
      </x:c>
      <x:c r="F5" s="11" t="str">
        <x:v>Docker/run.sh</x:v>
      </x:c>
      <x:c r="G5" s="11" t="str">
        <x:v>Apache-2.0</x:v>
      </x:c>
      <x:c r="H5" s="11" t="str">
        <x:v>1h tutorial; use 24h x4 full</x:v>
      </x:c>
    </x:row>
    <x:row r="6">
      <x:c r="A6" s="11" t="str">
        <x:v>AFLNet</x:v>
      </x:c>
      <x:c r="B6" s="11" t="str">
        <x:v>aflnet/aflnet</x:v>
      </x:c>
      <x:c r="C6" s="11" t="str">
        <x:v>96032f86d0005dfeeb41ea7b31103f1d1ff8f168</x:v>
      </x:c>
      <x:c r="D6" s="11" t="str">
        <x:v>DIRECT</x:v>
      </x:c>
      <x:c r="E6" s="11" t="str">
        <x:v>Kamailio</x:v>
      </x:c>
      <x:c r="F6" s="11" t="str">
        <x:v>ProFuzzBench SIP adapter</x:v>
      </x:c>
      <x:c r="G6" s="11" t="str">
        <x:v>Apache-2.0</x:v>
      </x:c>
      <x:c r="H6" s="11" t="str">
        <x:v>24h x4 in StateAFL/NSFuzz comparisons</x:v>
      </x:c>
    </x:row>
    <x:row r="7">
      <x:c r="A7" s="11" t="str">
        <x:v>StateAFL</x:v>
      </x:c>
      <x:c r="B7" s="11" t="str">
        <x:v>stateafl/stateafl</x:v>
      </x:c>
      <x:c r="C7" s="11" t="str">
        <x:v>d923e22f7b2688db45b08f3fa3a29a566e7ff3a4</x:v>
      </x:c>
      <x:c r="D7" s="11" t="str">
        <x:v>DIRECT</x:v>
      </x:c>
      <x:c r="E7" s="11" t="str">
        <x:v>Kamailio</x:v>
      </x:c>
      <x:c r="F7" s="11" t="str">
        <x:v>Dockerfile-stateafl</x:v>
      </x:c>
      <x:c r="G7" s="11" t="str">
        <x:v>GPL-2.0</x:v>
      </x:c>
      <x:c r="H7" s="11" t="str">
        <x:v>13 targets x3 fuzzers x4 repeats x24h</x:v>
      </x:c>
    </x:row>
    <x:row r="8">
      <x:c r="A8" s="11" t="str">
        <x:v>NSFuzz</x:v>
      </x:c>
      <x:c r="B8" s="11" t="str">
        <x:v>paper artifact</x:v>
      </x:c>
      <x:c r="C8" s="11" t="str">
        <x:v>DOI:10.1145/3580598</x:v>
      </x:c>
      <x:c r="D8" s="11" t="str">
        <x:v>PAPER_DIRECT</x:v>
      </x:c>
      <x:c r="E8" s="11" t="str">
        <x:v>Kamailio</x:v>
      </x:c>
      <x:c r="F8" s="11" t="str">
        <x:v>all 13 ProFuzzBench targets</x:v>
      </x:c>
      <x:c r="G8" s="11" t="str">
        <x:v>verify artifact</x:v>
      </x:c>
      <x:c r="H8" s="11" t="str">
        <x:v>4 runs x24h; adapter reproduction deferred</x:v>
      </x:c>
    </x:row>
    <x:row r="9">
      <x:c r="A9" s="11" t="str">
        <x:v>SGFuzz</x:v>
      </x:c>
      <x:c r="B9" s="11" t="str">
        <x:v>github.com/bajinsheng/SGFuzz</x:v>
      </x:c>
      <x:c r="C9" s="11" t="str">
        <x:v>8f45141</x:v>
      </x:c>
      <x:c r="D9" s="11" t="str">
        <x:v>NOT_DIRECT</x:v>
      </x:c>
      <x:c r="E9" s="11" t="str">
        <x:v>not Kamailio by default</x:v>
      </x:c>
      <x:c r="F9" s="11" t="str">
        <x:v>state-variable annotations</x:v>
      </x:c>
      <x:c r="G9" s="11" t="str">
        <x:v>verify repository</x:v>
      </x:c>
      <x:c r="H9" s="11" t="str">
        <x:v>23h average; secondary only</x:v>
      </x:c>
    </x:row>
    <x:row r="10">
      <x:c r="A10" s="11" t="str">
        <x:v>ChatAFL</x:v>
      </x:c>
      <x:c r="B10" s="11" t="str">
        <x:v>Zenodo 10115151</x:v>
      </x:c>
      <x:c r="C10" s="11" t="str">
        <x:v>artifact record</x:v>
      </x:c>
      <x:c r="D10" s="11" t="str">
        <x:v>DEFER_LARGE</x:v>
      </x:c>
      <x:c r="E10" s="11" t="str">
        <x:v>not admitted as primary</x:v>
      </x:c>
      <x:c r="F10" s="11" t="str">
        <x:v>LLM/API + large artifact</x:v>
      </x:c>
      <x:c r="G10" s="11" t="str">
        <x:v>artifact terms</x:v>
      </x:c>
      <x:c r="H10" s="11" t="str">
        <x:v>38.2GB artifact; no download in this phase</x:v>
      </x:c>
    </x:row>
  </x:sheetData>
  <x:mergeCells>
    <x:mergeCell ref="A1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6" hidden="0" customWidth="1"/>
    <x:col min="4" max="4" width="48" hidden="0" customWidth="1"/>
    <x:col min="5" max="5" width="30" hidden="0" customWidth="1"/>
    <x:col min="6" max="6" width="14" hidden="0" customWidth="1"/>
    <x:col min="7" max="7" width="90" hidden="0" customWidth="1"/>
  </x:cols>
  <x:sheetData>
    <x:row r="1" ht="28" customHeight="1">
      <x:c r="A1" s="4" t="str">
        <x:v>证据账本</x:v>
      </x:c>
      <x:c r="B1" s="4" t="str">
        <x:v>证据账本</x:v>
      </x:c>
      <x:c r="C1" s="4" t="str">
        <x:v>证据账本</x:v>
      </x:c>
      <x:c r="D1" s="4" t="str">
        <x:v>证据账本</x:v>
      </x:c>
      <x:c r="E1" s="4" t="str">
        <x:v>证据账本</x:v>
      </x:c>
      <x:c r="F1" s="4" t="str">
        <x:v>证据账本</x:v>
      </x:c>
      <x:c r="G1" s="4" t="str">
        <x:v>证据账本</x:v>
      </x:c>
    </x:row>
    <x:row r="2" ht="28" customHeight="1">
      <x:c r="A2" s="4" t="str">
        <x:v>证据账本</x:v>
      </x:c>
      <x:c r="B2" s="4" t="str">
        <x:v>证据账本</x:v>
      </x:c>
      <x:c r="C2" s="4" t="str">
        <x:v>证据账本</x:v>
      </x:c>
      <x:c r="D2" s="4" t="str">
        <x:v>证据账本</x:v>
      </x:c>
      <x:c r="E2" s="4" t="str">
        <x:v>证据账本</x:v>
      </x:c>
      <x:c r="F2" s="4" t="str">
        <x:v>证据账本</x:v>
      </x:c>
      <x:c r="G2" s="4" t="str">
        <x:v>证据账本</x:v>
      </x:c>
    </x:row>
    <x:row r="4" ht="30" customHeight="1">
      <x:c r="A4" s="18" t="str">
        <x:v>ID</x:v>
      </x:c>
      <x:c r="B4" s="18" t="str">
        <x:v>Type</x:v>
      </x:c>
      <x:c r="C4" s="18" t="str">
        <x:v>Title</x:v>
      </x:c>
      <x:c r="D4" s="18" t="str">
        <x:v>Version</x:v>
      </x:c>
      <x:c r="E4" s="18" t="str">
        <x:v>DOI</x:v>
      </x:c>
      <x:c r="F4" s="18" t="str">
        <x:v>Accessed</x:v>
      </x:c>
      <x:c r="G4" s="18" t="str">
        <x:v>URL</x:v>
      </x:c>
    </x:row>
    <x:row r="5">
      <x:c r="A5" s="11" t="str">
        <x:v>E01</x:v>
      </x:c>
      <x:c r="B5" s="11" t="str">
        <x:v>standard</x:v>
      </x:c>
      <x:c r="C5" s="11" t="str">
        <x:v>RFC 3261 SIP</x:v>
      </x:c>
      <x:c r="D5" s="11" t="str">
        <x:v>RFC 3261</x:v>
      </x:c>
      <x:c r="E5" s="11" t="str"/>
      <x:c r="F5" s="11" t="str">
        <x:v>2026-07-13</x:v>
      </x:c>
      <x:c r="G5" s="11" t="str">
        <x:v>https://www.rfc-editor.org/rfc/rfc3261.html</x:v>
      </x:c>
    </x:row>
    <x:row r="6">
      <x:c r="A6" s="11" t="str">
        <x:v>E02</x:v>
      </x:c>
      <x:c r="B6" s="11" t="str">
        <x:v>standard_update</x:v>
      </x:c>
      <x:c r="C6" s="11" t="str">
        <x:v>RFC 4320 Actions Addressing Issues Identified with SIP Non-INVITE Transaction</x:v>
      </x:c>
      <x:c r="D6" s="11" t="str">
        <x:v>RFC 4320</x:v>
      </x:c>
      <x:c r="E6" s="11" t="str"/>
      <x:c r="F6" s="11" t="str">
        <x:v>2026-07-13</x:v>
      </x:c>
      <x:c r="G6" s="11" t="str">
        <x:v>https://www.rfc-editor.org/rfc/rfc4320.html</x:v>
      </x:c>
    </x:row>
    <x:row r="7">
      <x:c r="A7" s="11" t="str">
        <x:v>E03</x:v>
      </x:c>
      <x:c r="B7" s="11" t="str">
        <x:v>standard_update</x:v>
      </x:c>
      <x:c r="C7" s="11" t="str">
        <x:v>RFC 6026 Correct Transaction Handling for 2xx Responses</x:v>
      </x:c>
      <x:c r="D7" s="11" t="str">
        <x:v>RFC 6026</x:v>
      </x:c>
      <x:c r="E7" s="11" t="str"/>
      <x:c r="F7" s="11" t="str">
        <x:v>2026-07-13</x:v>
      </x:c>
      <x:c r="G7" s="11" t="str">
        <x:v>https://www.rfc-editor.org/rfc/rfc6026.html</x:v>
      </x:c>
    </x:row>
    <x:row r="8">
      <x:c r="A8" s="11" t="str">
        <x:v>E04</x:v>
      </x:c>
      <x:c r="B8" s="11" t="str">
        <x:v>benchmark</x:v>
      </x:c>
      <x:c r="C8" s="11" t="str">
        <x:v>ProFuzzBench</x:v>
      </x:c>
      <x:c r="D8" s="11" t="str">
        <x:v>8573ec81d68f2c1ffc8f5e605dfdd9c61fbeb074</x:v>
      </x:c>
      <x:c r="E8" s="11" t="str"/>
      <x:c r="F8" s="11" t="str">
        <x:v>2026-07-13</x:v>
      </x:c>
      <x:c r="G8" s="11" t="str">
        <x:v>https://github.com/profuzzbench/profuzzbench</x:v>
      </x:c>
    </x:row>
    <x:row r="9">
      <x:c r="A9" s="11" t="str">
        <x:v>E05</x:v>
      </x:c>
      <x:c r="B9" s="11" t="str">
        <x:v>source</x:v>
      </x:c>
      <x:c r="C9" s="11" t="str">
        <x:v>Kamailio benchmark SUT</x:v>
      </x:c>
      <x:c r="D9" s="11" t="str">
        <x:v>2648eb330b133a20f1398d59a28c53532106cad3</x:v>
      </x:c>
      <x:c r="E9" s="11" t="str"/>
      <x:c r="F9" s="11" t="str">
        <x:v>2026-07-13</x:v>
      </x:c>
      <x:c r="G9" s="11" t="str">
        <x:v>https://github.com/kamailio/kamailio/tree/2648eb330b133a20f1398d59a28c53532106cad3</x:v>
      </x:c>
    </x:row>
    <x:row r="10">
      <x:c r="A10" s="11" t="str">
        <x:v>E06</x:v>
      </x:c>
      <x:c r="B10" s="11" t="str">
        <x:v>source</x:v>
      </x:c>
      <x:c r="C10" s="11" t="str">
        <x:v>PJSIP benchmark driver/reference endpoint</x:v>
      </x:c>
      <x:c r="D10" s="11" t="str">
        <x:v>bba95b8a95c0a9e8c1939166fd20083ae9e3e956</x:v>
      </x:c>
      <x:c r="E10" s="11" t="str"/>
      <x:c r="F10" s="11" t="str">
        <x:v>2026-07-13</x:v>
      </x:c>
      <x:c r="G10" s="11" t="str">
        <x:v>https://github.com/pjsip/pjproject/tree/bba95b8a95c0a9e8c1939166fd20083ae9e3e956</x:v>
      </x:c>
    </x:row>
    <x:row r="11">
      <x:c r="A11" s="11" t="str">
        <x:v>E07</x:v>
      </x:c>
      <x:c r="B11" s="11" t="str">
        <x:v>paper_artifact</x:v>
      </x:c>
      <x:c r="C11" s="11" t="str">
        <x:v>AFLNet</x:v>
      </x:c>
      <x:c r="D11" s="11" t="str">
        <x:v>96032f86d0005dfeeb41ea7b31103f1d1ff8f168</x:v>
      </x:c>
      <x:c r="E11" s="11" t="str">
        <x:v>10.1109/ICST46399.2020.00062</x:v>
      </x:c>
      <x:c r="F11" s="11" t="str">
        <x:v>2026-07-13</x:v>
      </x:c>
      <x:c r="G11" s="11" t="str">
        <x:v>https://github.com/aflnet/aflnet</x:v>
      </x:c>
    </x:row>
    <x:row r="12">
      <x:c r="A12" s="11" t="str">
        <x:v>E08</x:v>
      </x:c>
      <x:c r="B12" s="11" t="str">
        <x:v>paper_artifact</x:v>
      </x:c>
      <x:c r="C12" s="11" t="str">
        <x:v>StateAFL</x:v>
      </x:c>
      <x:c r="D12" s="11" t="str">
        <x:v>d923e22f7b2688db45b08f3fa3a29a566e7ff3a4</x:v>
      </x:c>
      <x:c r="E12" s="11" t="str">
        <x:v>10.1007/s10664-022-10233-3</x:v>
      </x:c>
      <x:c r="F12" s="11" t="str">
        <x:v>2026-07-13</x:v>
      </x:c>
      <x:c r="G12" s="11" t="str">
        <x:v>https://github.com/stateafl/stateafl</x:v>
      </x:c>
    </x:row>
    <x:row r="13">
      <x:c r="A13" s="11" t="str">
        <x:v>E09</x:v>
      </x:c>
      <x:c r="B13" s="11" t="str">
        <x:v>paper</x:v>
      </x:c>
      <x:c r="C13" s="11" t="str">
        <x:v>NSFuzz</x:v>
      </x:c>
      <x:c r="D13" s="11" t="str">
        <x:v>TOSEM 2023</x:v>
      </x:c>
      <x:c r="E13" s="11" t="str">
        <x:v>10.1145/3580598</x:v>
      </x:c>
      <x:c r="F13" s="11" t="str">
        <x:v>2026-07-13</x:v>
      </x:c>
      <x:c r="G13" s="11" t="str">
        <x:v>https://doi.org/10.1145/3580598</x:v>
      </x:c>
    </x:row>
    <x:row r="14">
      <x:c r="A14" s="11" t="str">
        <x:v>E10</x:v>
      </x:c>
      <x:c r="B14" s="11" t="str">
        <x:v>artifact</x:v>
      </x:c>
      <x:c r="C14" s="11" t="str">
        <x:v>ChatAFL artifact</x:v>
      </x:c>
      <x:c r="D14" s="11" t="str">
        <x:v>Zenodo 10115151</x:v>
      </x:c>
      <x:c r="E14" s="11" t="str"/>
      <x:c r="F14" s="11" t="str">
        <x:v>2026-07-13</x:v>
      </x:c>
      <x:c r="G14" s="11" t="str">
        <x:v>https://zenodo.org/records/10115151</x:v>
      </x:c>
    </x:row>
  </x:sheetData>
  <x:mergeCells>
    <x:mergeCell ref="A1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10" hidden="0" customWidth="1"/>
    <x:col min="4" max="4" width="12" hidden="0" customWidth="1"/>
    <x:col min="5" max="5" width="26" hidden="0" customWidth="1"/>
    <x:col min="6" max="6" width="18" hidden="0" customWidth="1"/>
    <x:col min="7" max="7" width="14" hidden="0" customWidth="1"/>
    <x:col min="8" max="8" width="60" hidden="0" customWidth="1"/>
    <x:col min="9" max="9" width="26" hidden="0" customWidth="1"/>
    <x:col min="10" max="10" width="26" hidden="0" customWidth="1"/>
  </x:cols>
  <x:sheetData>
    <x:row r="1" ht="28" customHeight="1">
      <x:c r="A1" s="4" t="str">
        <x:v>逐条人工签字（唯一批准入口）</x:v>
      </x:c>
      <x:c r="B1" s="4" t="str">
        <x:v>逐条人工签字（唯一批准入口）</x:v>
      </x:c>
      <x:c r="C1" s="4" t="str">
        <x:v>逐条人工签字（唯一批准入口）</x:v>
      </x:c>
      <x:c r="D1" s="4" t="str">
        <x:v>逐条人工签字（唯一批准入口）</x:v>
      </x:c>
      <x:c r="E1" s="4" t="str">
        <x:v>逐条人工签字（唯一批准入口）</x:v>
      </x:c>
      <x:c r="F1" s="4" t="str">
        <x:v>逐条人工签字（唯一批准入口）</x:v>
      </x:c>
      <x:c r="G1" s="4" t="str">
        <x:v>逐条人工签字（唯一批准入口）</x:v>
      </x:c>
      <x:c r="H1" s="4" t="str">
        <x:v>逐条人工签字（唯一批准入口）</x:v>
      </x:c>
      <x:c r="I1" s="4" t="str">
        <x:v>逐条人工签字（唯一批准入口）</x:v>
      </x:c>
      <x:c r="J1" s="4" t="str">
        <x:v>逐条人工签字（唯一批准入口）</x:v>
      </x:c>
    </x:row>
    <x:row r="2" ht="28" customHeight="1">
      <x:c r="A2" s="4" t="str">
        <x:v>逐条人工签字（唯一批准入口）</x:v>
      </x:c>
      <x:c r="B2" s="4" t="str">
        <x:v>逐条人工签字（唯一批准入口）</x:v>
      </x:c>
      <x:c r="C2" s="4" t="str">
        <x:v>逐条人工签字（唯一批准入口）</x:v>
      </x:c>
      <x:c r="D2" s="4" t="str">
        <x:v>逐条人工签字（唯一批准入口）</x:v>
      </x:c>
      <x:c r="E2" s="4" t="str">
        <x:v>逐条人工签字（唯一批准入口）</x:v>
      </x:c>
      <x:c r="F2" s="4" t="str">
        <x:v>逐条人工签字（唯一批准入口）</x:v>
      </x:c>
      <x:c r="G2" s="4" t="str">
        <x:v>逐条人工签字（唯一批准入口）</x:v>
      </x:c>
      <x:c r="H2" s="4" t="str">
        <x:v>逐条人工签字（唯一批准入口）</x:v>
      </x:c>
      <x:c r="I2" s="4" t="str">
        <x:v>逐条人工签字（唯一批准入口）</x:v>
      </x:c>
      <x:c r="J2" s="4" t="str">
        <x:v>逐条人工签字（唯一批准入口）</x:v>
      </x:c>
    </x:row>
    <x:row r="4" ht="30" customHeight="1">
      <x:c r="A4" s="18" t="str">
        <x:v>ID</x:v>
      </x:c>
      <x:c r="B4" s="18" t="str">
        <x:v>Title</x:v>
      </x:c>
      <x:c r="C4" s="18" t="str">
        <x:v>RFC §</x:v>
      </x:c>
      <x:c r="D4" s="18" t="str">
        <x:v>Machine</x:v>
      </x:c>
      <x:c r="E4" s="18" t="str">
        <x:v>Review status</x:v>
      </x:c>
      <x:c r="F4" s="18" t="str">
        <x:v>Reviewer</x:v>
      </x:c>
      <x:c r="G4" s="18" t="str">
        <x:v>Date</x:v>
      </x:c>
      <x:c r="H4" s="18" t="str">
        <x:v>Caveat / rejection reason</x:v>
      </x:c>
      <x:c r="I4" s="18" t="str">
        <x:v>AP &amp; correlation approved?</x:v>
      </x:c>
      <x:c r="J4" s="18" t="str">
        <x:v>Experiment claim allowed?</x:v>
      </x:c>
    </x:row>
    <x:row r="5">
      <x:c r="A5" s="11" t="str">
        <x:v>SIP-TX-01</x:v>
      </x:c>
      <x:c r="B5" s="11" t="str">
        <x:v>Timer A initial schedule</x:v>
      </x:c>
      <x:c r="C5" s="11" t="str">
        <x:v>17.1.1.2</x:v>
      </x:c>
      <x:c r="D5" s="11" t="str">
        <x:v>PASS</x:v>
      </x:c>
      <x:c r="E5" s="11" t="str">
        <x:v>PENDING</x:v>
      </x:c>
      <x:c r="F5" s="11" t="str"/>
      <x:c r="G5" s="11" t="str"/>
      <x:c r="H5" s="11" t="str"/>
      <x:c r="I5" s="11" t="str">
        <x:v>PENDING</x:v>
      </x:c>
      <x:c r="J5" s="11" t="str">
        <x:v>NO</x:v>
      </x:c>
    </x:row>
    <x:row r="6">
      <x:c r="A6" s="11" t="str">
        <x:v>SIP-TX-02</x:v>
      </x:c>
      <x:c r="B6" s="11" t="str">
        <x:v>Timer A causes the first INVITE retransmission</x:v>
      </x:c>
      <x:c r="C6" s="11" t="str">
        <x:v>17.1.1.2</x:v>
      </x:c>
      <x:c r="D6" s="11" t="str">
        <x:v>PASS</x:v>
      </x:c>
      <x:c r="E6" s="11" t="str">
        <x:v>PENDING</x:v>
      </x:c>
      <x:c r="F6" s="11" t="str"/>
      <x:c r="G6" s="11" t="str"/>
      <x:c r="H6" s="11" t="str"/>
      <x:c r="I6" s="11" t="str">
        <x:v>PENDING</x:v>
      </x:c>
      <x:c r="J6" s="11" t="str">
        <x:v>NO</x:v>
      </x:c>
    </x:row>
    <x:row r="7">
      <x:c r="A7" s="11" t="str">
        <x:v>SIP-TX-03</x:v>
      </x:c>
      <x:c r="B7" s="11" t="str">
        <x:v>Timer A second interval doubles</x:v>
      </x:c>
      <x:c r="C7" s="11" t="str">
        <x:v>17.1.1.2</x:v>
      </x:c>
      <x:c r="D7" s="11" t="str">
        <x:v>PASS</x:v>
      </x:c>
      <x:c r="E7" s="11" t="str">
        <x:v>PENDING</x:v>
      </x:c>
      <x:c r="F7" s="11" t="str"/>
      <x:c r="G7" s="11" t="str"/>
      <x:c r="H7" s="11" t="str"/>
      <x:c r="I7" s="11" t="str">
        <x:v>PENDING</x:v>
      </x:c>
      <x:c r="J7" s="11" t="str">
        <x:v>NO</x:v>
      </x:c>
    </x:row>
    <x:row r="8">
      <x:c r="A8" s="11" t="str">
        <x:v>SIP-TX-04</x:v>
      </x:c>
      <x:c r="B8" s="11" t="str">
        <x:v>Timer B transaction deadline</x:v>
      </x:c>
      <x:c r="C8" s="11" t="str">
        <x:v>17.1.1.2</x:v>
      </x:c>
      <x:c r="D8" s="11" t="str">
        <x:v>PASS</x:v>
      </x:c>
      <x:c r="E8" s="11" t="str">
        <x:v>PENDING</x:v>
      </x:c>
      <x:c r="F8" s="11" t="str"/>
      <x:c r="G8" s="11" t="str"/>
      <x:c r="H8" s="11" t="str"/>
      <x:c r="I8" s="11" t="str">
        <x:v>PENDING</x:v>
      </x:c>
      <x:c r="J8" s="11" t="str">
        <x:v>NO</x:v>
      </x:c>
    </x:row>
    <x:row r="9">
      <x:c r="A9" s="11" t="str">
        <x:v>SIP-TX-05</x:v>
      </x:c>
      <x:c r="B9" s="11" t="str">
        <x:v>Provisional response stops INVITE retransmission</x:v>
      </x:c>
      <x:c r="C9" s="11" t="str">
        <x:v>17.1.1.2</x:v>
      </x:c>
      <x:c r="D9" s="11" t="str">
        <x:v>PASS</x:v>
      </x:c>
      <x:c r="E9" s="11" t="str">
        <x:v>PENDING</x:v>
      </x:c>
      <x:c r="F9" s="11" t="str"/>
      <x:c r="G9" s="11" t="str"/>
      <x:c r="H9" s="11" t="str"/>
      <x:c r="I9" s="11" t="str">
        <x:v>PENDING</x:v>
      </x:c>
      <x:c r="J9" s="11" t="str">
        <x:v>NO</x:v>
      </x:c>
    </x:row>
    <x:row r="10">
      <x:c r="A10" s="11" t="str">
        <x:v>SIP-TX-06</x:v>
      </x:c>
      <x:c r="B10" s="11" t="str">
        <x:v>Timer D minimum retention</x:v>
      </x:c>
      <x:c r="C10" s="11" t="str">
        <x:v>17.1.1.2</x:v>
      </x:c>
      <x:c r="D10" s="11" t="str">
        <x:v>PASS</x:v>
      </x:c>
      <x:c r="E10" s="11" t="str">
        <x:v>PENDING</x:v>
      </x:c>
      <x:c r="F10" s="11" t="str"/>
      <x:c r="G10" s="11" t="str"/>
      <x:c r="H10" s="11" t="str"/>
      <x:c r="I10" s="11" t="str">
        <x:v>PENDING</x:v>
      </x:c>
      <x:c r="J10" s="11" t="str">
        <x:v>NO</x:v>
      </x:c>
    </x:row>
    <x:row r="11">
      <x:c r="A11" s="11" t="str">
        <x:v>SIP-TX-07</x:v>
      </x:c>
      <x:c r="B11" s="11" t="str">
        <x:v>Timer E initial schedule</x:v>
      </x:c>
      <x:c r="C11" s="11" t="str">
        <x:v>17.1.2.2</x:v>
      </x:c>
      <x:c r="D11" s="11" t="str">
        <x:v>PASS</x:v>
      </x:c>
      <x:c r="E11" s="11" t="str">
        <x:v>PENDING</x:v>
      </x:c>
      <x:c r="F11" s="11" t="str"/>
      <x:c r="G11" s="11" t="str"/>
      <x:c r="H11" s="11" t="str"/>
      <x:c r="I11" s="11" t="str">
        <x:v>PENDING</x:v>
      </x:c>
      <x:c r="J11" s="11" t="str">
        <x:v>NO</x:v>
      </x:c>
    </x:row>
    <x:row r="12">
      <x:c r="A12" s="11" t="str">
        <x:v>SIP-TX-08</x:v>
      </x:c>
      <x:c r="B12" s="11" t="str">
        <x:v>Timer E causes the first non-INVITE retransmission</x:v>
      </x:c>
      <x:c r="C12" s="11" t="str">
        <x:v>17.1.2.2</x:v>
      </x:c>
      <x:c r="D12" s="11" t="str">
        <x:v>PASS</x:v>
      </x:c>
      <x:c r="E12" s="11" t="str">
        <x:v>PENDING</x:v>
      </x:c>
      <x:c r="F12" s="11" t="str"/>
      <x:c r="G12" s="11" t="str"/>
      <x:c r="H12" s="11" t="str"/>
      <x:c r="I12" s="11" t="str">
        <x:v>PENDING</x:v>
      </x:c>
      <x:c r="J12" s="11" t="str">
        <x:v>NO</x:v>
      </x:c>
    </x:row>
    <x:row r="13">
      <x:c r="A13" s="11" t="str">
        <x:v>SIP-TX-09</x:v>
      </x:c>
      <x:c r="B13" s="11" t="str">
        <x:v>Timer E second interval doubles</x:v>
      </x:c>
      <x:c r="C13" s="11" t="str">
        <x:v>17.1.2.2</x:v>
      </x:c>
      <x:c r="D13" s="11" t="str">
        <x:v>PASS</x:v>
      </x:c>
      <x:c r="E13" s="11" t="str">
        <x:v>PENDING</x:v>
      </x:c>
      <x:c r="F13" s="11" t="str"/>
      <x:c r="G13" s="11" t="str"/>
      <x:c r="H13" s="11" t="str"/>
      <x:c r="I13" s="11" t="str">
        <x:v>PENDING</x:v>
      </x:c>
      <x:c r="J13" s="11" t="str">
        <x:v>NO</x:v>
      </x:c>
    </x:row>
    <x:row r="14">
      <x:c r="A14" s="11" t="str">
        <x:v>SIP-TX-10</x:v>
      </x:c>
      <x:c r="B14" s="11" t="str">
        <x:v>Timer E switches to T2 after provisional</x:v>
      </x:c>
      <x:c r="C14" s="11" t="str">
        <x:v>17.1.2.2</x:v>
      </x:c>
      <x:c r="D14" s="11" t="str">
        <x:v>PASS</x:v>
      </x:c>
      <x:c r="E14" s="11" t="str">
        <x:v>PENDING</x:v>
      </x:c>
      <x:c r="F14" s="11" t="str"/>
      <x:c r="G14" s="11" t="str"/>
      <x:c r="H14" s="11" t="str"/>
      <x:c r="I14" s="11" t="str">
        <x:v>PENDING</x:v>
      </x:c>
      <x:c r="J14" s="11" t="str">
        <x:v>NO</x:v>
      </x:c>
    </x:row>
    <x:row r="15">
      <x:c r="A15" s="11" t="str">
        <x:v>SIP-TX-11</x:v>
      </x:c>
      <x:c r="B15" s="11" t="str">
        <x:v>Timer F transaction deadline</x:v>
      </x:c>
      <x:c r="C15" s="11" t="str">
        <x:v>17.1.2.2</x:v>
      </x:c>
      <x:c r="D15" s="11" t="str">
        <x:v>PASS</x:v>
      </x:c>
      <x:c r="E15" s="11" t="str">
        <x:v>PENDING</x:v>
      </x:c>
      <x:c r="F15" s="11" t="str"/>
      <x:c r="G15" s="11" t="str"/>
      <x:c r="H15" s="11" t="str"/>
      <x:c r="I15" s="11" t="str">
        <x:v>PENDING</x:v>
      </x:c>
      <x:c r="J15" s="11" t="str">
        <x:v>NO</x:v>
      </x:c>
    </x:row>
    <x:row r="16">
      <x:c r="A16" s="11" t="str">
        <x:v>SIP-TX-12</x:v>
      </x:c>
      <x:c r="B16" s="11" t="str">
        <x:v>Timer K retention</x:v>
      </x:c>
      <x:c r="C16" s="11" t="str">
        <x:v>17.1.2.2</x:v>
      </x:c>
      <x:c r="D16" s="11" t="str">
        <x:v>PASS</x:v>
      </x:c>
      <x:c r="E16" s="11" t="str">
        <x:v>PENDING</x:v>
      </x:c>
      <x:c r="F16" s="11" t="str"/>
      <x:c r="G16" s="11" t="str"/>
      <x:c r="H16" s="11" t="str"/>
      <x:c r="I16" s="11" t="str">
        <x:v>PENDING</x:v>
      </x:c>
      <x:c r="J16" s="11" t="str">
        <x:v>NO</x:v>
      </x:c>
    </x:row>
    <x:row r="17">
      <x:c r="A17" s="11" t="str">
        <x:v>SIP-TX-13</x:v>
      </x:c>
      <x:c r="B17" s="11" t="str">
        <x:v>Timer G initial schedule</x:v>
      </x:c>
      <x:c r="C17" s="11" t="str">
        <x:v>17.2.1</x:v>
      </x:c>
      <x:c r="D17" s="11" t="str">
        <x:v>PASS</x:v>
      </x:c>
      <x:c r="E17" s="11" t="str">
        <x:v>PENDING</x:v>
      </x:c>
      <x:c r="F17" s="11" t="str"/>
      <x:c r="G17" s="11" t="str"/>
      <x:c r="H17" s="11" t="str"/>
      <x:c r="I17" s="11" t="str">
        <x:v>PENDING</x:v>
      </x:c>
      <x:c r="J17" s="11" t="str">
        <x:v>NO</x:v>
      </x:c>
    </x:row>
    <x:row r="18">
      <x:c r="A18" s="11" t="str">
        <x:v>SIP-TX-14</x:v>
      </x:c>
      <x:c r="B18" s="11" t="str">
        <x:v>Timer G causes the first final-response retransmission</x:v>
      </x:c>
      <x:c r="C18" s="11" t="str">
        <x:v>17.2.1</x:v>
      </x:c>
      <x:c r="D18" s="11" t="str">
        <x:v>PASS</x:v>
      </x:c>
      <x:c r="E18" s="11" t="str">
        <x:v>PENDING</x:v>
      </x:c>
      <x:c r="F18" s="11" t="str"/>
      <x:c r="G18" s="11" t="str"/>
      <x:c r="H18" s="11" t="str"/>
      <x:c r="I18" s="11" t="str">
        <x:v>PENDING</x:v>
      </x:c>
      <x:c r="J18" s="11" t="str">
        <x:v>NO</x:v>
      </x:c>
    </x:row>
    <x:row r="19">
      <x:c r="A19" s="11" t="str">
        <x:v>SIP-TX-15</x:v>
      </x:c>
      <x:c r="B19" s="11" t="str">
        <x:v>Timer G second interval doubles</x:v>
      </x:c>
      <x:c r="C19" s="11" t="str">
        <x:v>17.2.1</x:v>
      </x:c>
      <x:c r="D19" s="11" t="str">
        <x:v>PASS</x:v>
      </x:c>
      <x:c r="E19" s="11" t="str">
        <x:v>PENDING</x:v>
      </x:c>
      <x:c r="F19" s="11" t="str"/>
      <x:c r="G19" s="11" t="str"/>
      <x:c r="H19" s="11" t="str"/>
      <x:c r="I19" s="11" t="str">
        <x:v>PENDING</x:v>
      </x:c>
      <x:c r="J19" s="11" t="str">
        <x:v>NO</x:v>
      </x:c>
    </x:row>
    <x:row r="20">
      <x:c r="A20" s="11" t="str">
        <x:v>SIP-TX-16</x:v>
      </x:c>
      <x:c r="B20" s="11" t="str">
        <x:v>Timer H transaction deadline</x:v>
      </x:c>
      <x:c r="C20" s="11" t="str">
        <x:v>17.2.1</x:v>
      </x:c>
      <x:c r="D20" s="11" t="str">
        <x:v>PASS</x:v>
      </x:c>
      <x:c r="E20" s="11" t="str">
        <x:v>PENDING</x:v>
      </x:c>
      <x:c r="F20" s="11" t="str"/>
      <x:c r="G20" s="11" t="str"/>
      <x:c r="H20" s="11" t="str"/>
      <x:c r="I20" s="11" t="str">
        <x:v>PENDING</x:v>
      </x:c>
      <x:c r="J20" s="11" t="str">
        <x:v>NO</x:v>
      </x:c>
    </x:row>
    <x:row r="21">
      <x:c r="A21" s="11" t="str">
        <x:v>SIP-TX-17</x:v>
      </x:c>
      <x:c r="B21" s="11" t="str">
        <x:v>ACK stops Timer G retransmissions</x:v>
      </x:c>
      <x:c r="C21" s="11" t="str">
        <x:v>17.2.1</x:v>
      </x:c>
      <x:c r="D21" s="11" t="str">
        <x:v>PASS</x:v>
      </x:c>
      <x:c r="E21" s="11" t="str">
        <x:v>PENDING</x:v>
      </x:c>
      <x:c r="F21" s="11" t="str"/>
      <x:c r="G21" s="11" t="str"/>
      <x:c r="H21" s="11" t="str"/>
      <x:c r="I21" s="11" t="str">
        <x:v>PENDING</x:v>
      </x:c>
      <x:c r="J21" s="11" t="str">
        <x:v>NO</x:v>
      </x:c>
    </x:row>
    <x:row r="22">
      <x:c r="A22" s="11" t="str">
        <x:v>SIP-TX-18</x:v>
      </x:c>
      <x:c r="B22" s="11" t="str">
        <x:v>Timer I retention</x:v>
      </x:c>
      <x:c r="C22" s="11" t="str">
        <x:v>17.2.1</x:v>
      </x:c>
      <x:c r="D22" s="11" t="str">
        <x:v>PASS</x:v>
      </x:c>
      <x:c r="E22" s="11" t="str">
        <x:v>PENDING</x:v>
      </x:c>
      <x:c r="F22" s="11" t="str"/>
      <x:c r="G22" s="11" t="str"/>
      <x:c r="H22" s="11" t="str"/>
      <x:c r="I22" s="11" t="str">
        <x:v>PENDING</x:v>
      </x:c>
      <x:c r="J22" s="11" t="str">
        <x:v>NO</x:v>
      </x:c>
    </x:row>
    <x:row r="23">
      <x:c r="A23" s="11" t="str">
        <x:v>SIP-TX-19</x:v>
      </x:c>
      <x:c r="B23" s="11" t="str">
        <x:v>Timer J retention</x:v>
      </x:c>
      <x:c r="C23" s="11" t="str">
        <x:v>17.2.2</x:v>
      </x:c>
      <x:c r="D23" s="11" t="str">
        <x:v>PASS</x:v>
      </x:c>
      <x:c r="E23" s="11" t="str">
        <x:v>PENDING</x:v>
      </x:c>
      <x:c r="F23" s="11" t="str"/>
      <x:c r="G23" s="11" t="str"/>
      <x:c r="H23" s="11" t="str"/>
      <x:c r="I23" s="11" t="str">
        <x:v>PENDING</x:v>
      </x:c>
      <x:c r="J23" s="11" t="str">
        <x:v>NO</x:v>
      </x:c>
    </x:row>
    <x:row r="24">
      <x:c r="A24" s="11" t="str">
        <x:v>SIP-TX-20</x:v>
      </x:c>
      <x:c r="B24" s="11" t="str">
        <x:v>Timer C exceeds three minutes</x:v>
      </x:c>
      <x:c r="C24" s="11" t="str">
        <x:v>16.6</x:v>
      </x:c>
      <x:c r="D24" s="11" t="str">
        <x:v>PASS</x:v>
      </x:c>
      <x:c r="E24" s="11" t="str">
        <x:v>PENDING</x:v>
      </x:c>
      <x:c r="F24" s="11" t="str"/>
      <x:c r="G24" s="11" t="str"/>
      <x:c r="H24" s="11" t="str"/>
      <x:c r="I24" s="11" t="str">
        <x:v>PENDING</x:v>
      </x:c>
      <x:c r="J24" s="11" t="str">
        <x:v>NO</x:v>
      </x:c>
    </x:row>
    <x:row r="27">
      <x:c r="A27" s="15" t="str">
        <x:v>全局签字</x:v>
      </x:c>
      <x:c r="B27" s="11" t="str">
        <x:v>首选协议 / 时间常数 / MITL 语义 / AP-correlation / baseline 公平性均已审核</x:v>
      </x:c>
      <x:c r="C27" s="11"/>
      <x:c r="D27" s="11"/>
      <x:c r="E27" s="11" t="str">
        <x:v>PENDING</x:v>
      </x:c>
      <x:c r="F27" s="11" t="str"/>
      <x:c r="G27" s="11" t="str"/>
      <x:c r="H27" s="11" t="str"/>
      <x:c r="I27" s="11" t="str"/>
      <x:c r="J27" s="11" t="str"/>
    </x:row>
    <x:row r="28">
      <x:c r="A28" s="15" t="str">
        <x:v>实施门</x:v>
      </x:c>
      <x:c r="B28" s="11" t="str">
        <x:v>只有 20 条均非 PENDING 且无 REJECT_OR_FIX，才允许进入 harness 实现</x:v>
      </x:c>
      <x:c r="C28" s="11"/>
      <x:c r="D28" s="11"/>
      <x:c r="E28" s="11" t="str">
        <x:v>BLOCKED</x:v>
      </x:c>
      <x:c r="F28" s="11" t="str"/>
      <x:c r="G28" s="11" t="str"/>
      <x:c r="H28" s="11" t="str"/>
      <x:c r="I28" s="11" t="str"/>
      <x:c r="J28" s="11" t="str"/>
    </x:row>
    <x:row r="29">
      <x:c r="A29" s="15" t="str">
        <x:v>说明</x:v>
      </x:c>
      <x:c r="B29" s="11" t="str">
        <x:v>DEFER_TO_V2 / KEEP_EXCLUDED 不得进入论文主张或实现需求</x:v>
      </x:c>
      <x:c r="C29" s="11"/>
      <x:c r="D29" s="11"/>
      <x:c r="E29" s="11" t="str"/>
      <x:c r="F29" s="11" t="str"/>
      <x:c r="G29" s="11" t="str"/>
      <x:c r="H29" s="11" t="str"/>
      <x:c r="I29" s="11" t="str"/>
      <x:c r="J29" s="11" t="str"/>
    </x:row>
  </x:sheetData>
  <x:mergeCells>
    <x:mergeCell ref="A1:J2"/>
  </x:mergeCells>
  <x:conditionalFormatting sqref="E5:E24">
    <x:cfRule type="containsText" dxfId="2" priority="1" operator="containsText" text="APPROVE"/>
    <x:cfRule type="containsText" dxfId="3" priority="2" operator="containsText" text="REJECT"/>
  </x:conditionalFormatting>
  <x:dataValidations count="3">
    <x:dataValidation type="list" sqref="E5:E24">
      <x:formula1>"PENDING,APPROVE_AS_CLAIMED,APPROVE_WITH_CAVEAT,REJECT_OR_FIX,DEFER_TO_V2,KEEP_EXCLUDED"</x:formula1>
    </x:dataValidation>
    <x:dataValidation type="list" sqref="I5:I24">
      <x:formula1>"PENDING,YES,NO"</x:formula1>
    </x:dataValidation>
    <x:dataValidation type="list" sqref="J5:J24">
      <x:formula1>"NO,YES_WITH_CAVEAT,YES"</x:formula1>
    </x:dataValidation>
  </x:dataValidations>
  <x:pageMargins left="0.7" right="0.7" top="0.75" bottom="0.75" header="0.3" footer="0.3"/>
</x:worksheet>
</file>